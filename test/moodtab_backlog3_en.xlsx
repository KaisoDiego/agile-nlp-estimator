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17580"/>
  </bookViews>
  <sheets>
    <sheet name="Sprint 3 Backlog" sheetId="1" r:id="rId1"/>
    <sheet name="Listado de HUs" sheetId="2" r:id="rId2"/>
    <sheet name="Requisitos No Funcionales" sheetId="3" r:id="rId3"/>
    <sheet name="Registro de Horas Trabajadas" sheetId="4" r:id="rId4"/>
    <sheet name="Comentarios HUs" sheetId="5" r:id="rId5"/>
    <sheet name="Registro de Incidentes" sheetId="6" r:id="rId6"/>
    <sheet name="Métricas Memoria" sheetId="7" r:id="rId7"/>
  </sheets>
  <definedNames>
    <definedName name="Z_4850914D_A4D5_4C72_8749_51399BFCB679_.wvu.FilterData" localSheetId="3" hidden="1">'Registro de Horas Trabajadas'!$A$1:$E$1020</definedName>
    <definedName name="Z_4850914D_A4D5_4C72_8749_51399BFCB679_.wvu.FilterData" localSheetId="4" hidden="1">'Comentarios HUs'!$A$1:$D$15</definedName>
    <definedName name="Z_5E832DD7_74A6_49C0_96EE_F4A5B586C29A_.wvu.FilterData" localSheetId="5" hidden="1">'Registro de Incidentes'!$A$1:$E$15</definedName>
    <definedName name="Z_95D72748_0FC7_4AED_8E5D_C0DE7A35FBEB_.wvu.FilterData" localSheetId="3" hidden="1">'Registro de Horas Trabajadas'!$A$1:$E$1020</definedName>
    <definedName name="Z_95D72748_0FC7_4AED_8E5D_C0DE7A35FBEB_.wvu.FilterData" localSheetId="4" hidden="1">'Comentarios HUs'!$A$1:$D$15</definedName>
    <definedName name="Z_C64032E5_7B85_4636_BF01_0A008F820A1E_.wvu.FilterData" localSheetId="0" hidden="1">'Sprint 3 Backlog'!$A$1:$K$23</definedName>
    <definedName name="Z_369FA81C_3901_404F_9755_45EA74BF26E3_.wvu.FilterData" localSheetId="0" hidden="1">'Sprint 3 Backlog'!$A$1:$K$23</definedName>
    <definedName name="Z_369FA81C_3901_404F_9755_45EA74BF26E3_.wvu.FilterData" localSheetId="5" hidden="1">'Registro de Incidentes'!$A$1:$E$15</definedName>
    <definedName name="Z_5EAFF747_5B3C_4625_9F3C_A03F20A0B65A_.wvu.FilterData" localSheetId="6" hidden="1">'Métricas Memoria'!$A$1:$I$23</definedName>
    <definedName name="Z_27160DC0_7223_4CE7_96B4_963772475115_.wvu.FilterData" localSheetId="0" hidden="1">'Sprint 3 Backlog'!$A$1:$K$23</definedName>
    <definedName name="PROGRESO_HU">_xlfn.LAMBDA(IF(COUNTIF('Sprint 3 Backlog'!$C$2:$E$2,TRUE)=0,"Pendiente",IF(COUNTIF('Sprint 3 Backlog'!$C$2:$E$2,TRUE)=3,"Completado","En curso")))</definedName>
  </definedNames>
  <calcPr calcId="191029"/>
  <customWorkbookViews>
    <customWorkbookView name="Agrupar por Persona" guid="{95D72748-0FC7-4AED-8E5D-C0DE7A35FBEB}" maximized="1" windowWidth="0" windowHeight="0" activeSheetId="0"/>
    <customWorkbookView name="Agrupar por ¿Impidió Avance?" guid="{5E832DD7-74A6-49C0-96EE-F4A5B586C29A}" maximized="1" windowWidth="0" windowHeight="0" activeSheetId="0"/>
    <customWorkbookView name="Agrupar por Responsable" guid="{C64032E5-7B85-4636-BF01-0A008F820A1E}" maximized="1" windowWidth="0" windowHeight="0" activeSheetId="0"/>
    <customWorkbookView name="Agrupar por Estado" guid="{27160DC0-7223-4CE7-96B4-963772475115}" maximized="1" windowWidth="0" windowHeight="0" activeSheetId="0"/>
    <customWorkbookView name="Agrupar por ID HU" guid="{4850914D-A4D5-4C72-8749-51399BFCB679}" maximized="1" windowWidth="0" windowHeight="0" activeSheetId="0"/>
    <customWorkbookView name="Agrupar por Total Personas Asignadas" guid="{5EAFF747-5B3C-4625-9F3C-A03F20A0B65A}" maximized="1" windowWidth="0" windowHeight="0" activeSheetId="0"/>
    <customWorkbookView name="Agrupar por ID HUs" guid="{369FA81C-3901-404F-9755-45EA74BF26E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<sst xmlns="http://schemas.openxmlformats.org/spreadsheetml/2006/main" count="354" uniqueCount="223">
  <si>
    <t>ID HUs</t>
  </si>
  <si>
    <t>Título</t>
  </si>
  <si>
    <t>C1</t>
  </si>
  <si>
    <t>C2</t>
  </si>
  <si>
    <t>C3</t>
  </si>
  <si>
    <t>SP</t>
  </si>
  <si>
    <t>Tiempo Real Invertido (Hrs)</t>
  </si>
  <si>
    <t>Estado</t>
  </si>
  <si>
    <t>Responsable</t>
  </si>
  <si>
    <t>Fecha Inicio</t>
  </si>
  <si>
    <t>Fecha Fin</t>
  </si>
  <si>
    <t>Diagnosis and Severity Management</t>
  </si>
  <si>
    <t>Antonio, Pancho</t>
  </si>
  <si>
    <t>Medical Prescription Update</t>
  </si>
  <si>
    <t>Antonio, Felipe</t>
  </si>
  <si>
    <t>Patient Safety Plan Edition</t>
  </si>
  <si>
    <t>Byron, Pancho</t>
  </si>
  <si>
    <t>Viewing and Exporting the Security Plan (PDF)</t>
  </si>
  <si>
    <t>Security Plan Update Notification</t>
  </si>
  <si>
    <t>Onboarding Guide for New Users</t>
  </si>
  <si>
    <t>Byron, Felipe</t>
  </si>
  <si>
    <t xml:space="preserve"> </t>
  </si>
  <si>
    <t>Questionnaire history</t>
  </si>
  <si>
    <t>Psychiatrist Calendar</t>
  </si>
  <si>
    <t>Antonio</t>
  </si>
  <si>
    <t>Central Alert Indicator</t>
  </si>
  <si>
    <t>Pancho</t>
  </si>
  <si>
    <t>Detailed Alert Display</t>
  </si>
  <si>
    <t>Pancho, Antonio</t>
  </si>
  <si>
    <t>Visual Clue of New Content</t>
  </si>
  <si>
    <t>Personalization of Daily Tips</t>
  </si>
  <si>
    <t>Byron</t>
  </si>
  <si>
    <t>Psychiatrist Details Page</t>
  </si>
  <si>
    <t>Database Structure and Normalization</t>
  </si>
  <si>
    <t>Interface Agility</t>
  </si>
  <si>
    <t>Kaiso, Pancho</t>
  </si>
  <si>
    <t>Mobile Login Mechanism</t>
  </si>
  <si>
    <t>Mobile Interface Coherence</t>
  </si>
  <si>
    <t>Byron, Kaiso, Pancho</t>
  </si>
  <si>
    <t>Change history</t>
  </si>
  <si>
    <t>Interface Visualization</t>
  </si>
  <si>
    <t>Pancho, Kaiso</t>
  </si>
  <si>
    <t>Data validation</t>
  </si>
  <si>
    <t>Felipe</t>
  </si>
  <si>
    <t>DB alerts</t>
  </si>
  <si>
    <t>new alerts</t>
  </si>
  <si>
    <t>ID HU</t>
  </si>
  <si>
    <t>Historia de Usuario</t>
  </si>
  <si>
    <t>Criterios de Aceptación</t>
  </si>
  <si>
    <t>Criterio de Aceptación 1</t>
  </si>
  <si>
    <t>Criterio de Aceptación 2</t>
  </si>
  <si>
    <t>Criterio de Aceptación 3</t>
  </si>
  <si>
    <t>As a psychiatrist, I want to be able to edit my patient's clinical diagnosis and assign a severity level to maintain accurate and up-to-date control of their mental health status.</t>
  </si>
  <si>
    <t>Since the psychiatrist is in the "Patient View", when you select a patient and access the "Diagnosis" section, you can then edit the existing diagnosis and save the changes.</t>
  </si>
  <si>
    <t>Since the psychiatrist edits the diagnosis, they can then select and save a "Severity Level" associated with that diagnosis (e.g., Mild, Moderate, Severe).</t>
  </si>
  <si>
    <t>Since an edit is made and the changes to the diagnosis or severity are saved, the system automatically records the date, time, the user who made the modification, and the previous value of the diagnosis in an immutable patient history.</t>
  </si>
  <si>
    <t>As a psychiatrist, I want to be able to see my patient's current medication and enter a new one or modify the prescription to ensure that the drug treatment is appropriate at all times.</t>
  </si>
  <si>
    <t>Since the psychiatrist is in the "Patient View", when he accesses the "Medications" section, he can clearly see the medication currently prescribed by the patient.</t>
  </si>
  <si>
    <t>Since the psychiatrist accesses the "Medications" section, they can then add a new medication or modify an existing one, and the system saves and displays the new prescription as current.</t>
  </si>
  <si>
    <t>Since the psychiatrist adds or modifies a prescription, the system automatically records the date, time, the user who performed the action, the previous medication, and the new medication in the patient's treatment history.</t>
  </si>
  <si>
    <t>As a patient, I want to be able to edit my safety plan at any time to ensure I have an up-to-date and relevant action plan for when I feel in crisis or unwell.</t>
  </si>
  <si>
    <t>Given an authenticated patient, when they access the "Security Plan View", they can then modify any of the plan fields and successfully save the changes.</t>
  </si>
  <si>
    <t>Since the patient edits and saves their Safety Plan, the system automatically records the date, time, and an indicator that the plan was updated by the patient, maintaining a history of previous versions.</t>
  </si>
  <si>
    <t>Given a patient who edits their safety plan, they can add an emergency number which can be used to call them by tapping the number in the plan view.</t>
  </si>
  <si>
    <t>As a psychiatrist, I want to be able to view my patient's safety plan and export it in PDF format to have a backup copy and reference of my patient's coping strategy.</t>
  </si>
  <si>
    <t>Given a psychiatrist, when viewing a patient's safety plan, they can then select the "Export to PDF" option and the document is downloaded with the full content of the plan.</t>
  </si>
  <si>
    <t>Since the psychiatrist exports the plan to PDF, the generated document maintains the readable formatting and design of the web view.</t>
  </si>
  <si>
    <t>Since the PDF is generated, it includes information such as the patient's name, the date of the last plan update, and the export date.</t>
  </si>
  <si>
    <t>As a psychiatrist, I want to see a visual cue if my patient has recently updated their safety plan so I know when to review the changes and discuss it in our next session.</t>
  </si>
  <si>
    <t>Since the patient has edited and saved their Safety Plan, when the psychiatrist accesses the "Patient View", a clear visual indicator (e.g., a "New" or "Updated" icon) is displayed next to the patient's name or their safety plan.</t>
  </si>
  <si>
    <t>Given an updated safety plan notification, when the psychiatrist accesses the view, he can review what data has changed from the previous one.</t>
  </si>
  <si>
    <t>Given an updated security plan, when the psychiatrist closes the view of the changes made, the visual cue will disappear.</t>
  </si>
  <si>
    <t>As a new user, I want a simple and guided onboarding process the first time I use the app so I can easily and quickly understand how to use the main features of the application.</t>
  </si>
  <si>
    <t>Since the user starts the application for the first time, when they log in, a sequence of no more than 4 screens is presented that explain the key functionalities of the app.</t>
  </si>
  <si>
    <t>Since the user is in the onboarding process, they have the clear option to "Skip" or "Leave out" the process at any time.</t>
  </si>
  <si>
    <t>Since the user has completed or skipped the onboarding process, when they log back in, the onboarding process is not displayed again.</t>
  </si>
  <si>
    <t>As a patient, I want to see the responses to the forms I have filled out so I can have my answers whenever I deem it convenient.</t>
  </si>
  <si>
    <t>Given a patient in the questionnaires view, they can navigate to a view that contains a list of answered questionnaires.</t>
  </si>
  <si>
    <t>Given a patient in the view of answered questionnaires, they can select one from the list and the responses of the selected questionnaire will be displayed.</t>
  </si>
  <si>
    <t>Given a patient who has selected a questionnaire, they can export their responses to a PDF document.</t>
  </si>
  <si>
    <t>As a psychiatrist, I want to have access to a personal calendar where I can add and view personal reminders.</t>
  </si>
  <si>
    <t>Given a psychiatrist, they can view a calendar in their psychiatrist details tab.</t>
  </si>
  <si>
    <t>Given a psychiatrist, they can enter personal reminders into the calendar.</t>
  </si>
  <si>
    <t>Given a psychiatrist, they can edit and/or delete your previously entered calendar reminders.</t>
  </si>
  <si>
    <t>As a psychiatrist, I want to have a centralized notifications icon in the app header that shows me the count of deviations or critical alerts (e.g., questionnaire responses) generated by my patients.</t>
  </si>
  <si>
    <t>Given a psychiatrist in any view, you may then see a bell icon or similar in the top navigation bar that displays a numerical counter with the total number of active, unreviewed alerts.</t>
  </si>
  <si>
    <t>Since there are new alerts or deviations, when the psychiatrist clicks on the notifications icon, a summary list of patients and the type of alert is displayed (e.g., "Patient X - Critical Questionnaire").</t>
  </si>
  <si>
    <t>Since the psychiatrist clicks on an item in the drop-down list, he is then automatically redirected to the patient's record with the active alert (HU 11) and the counter is updated.</t>
  </si>
  <si>
    <t>Visualización Detallada de Alertas</t>
  </si>
  <si>
    <t>As a psychiatrist, I want a visible alert banner to be displayed when accessing the patient's record, detailing the deviation or active alert, so that the situation is known without having to navigate to another section.</t>
  </si>
  <si>
    <t>Given a psychiatrist who accesses a patient's record with an active alert, then a banner of a prominent color (e.g., red or orange) is displayed at the top of the record view.</t>
  </si>
  <si>
    <t>Given the alert banner, it then contains a concise message summarizing the reason for the alert (e.g., "Depression score at Severe level") and a direct link to the source of the data (e.g., the completed questionnaire).</t>
  </si>
  <si>
    <t>Since the psychiatrist has reviewed and marked the alert as "Resolved" or "Reviewed" in the patient's record, the alert banner is hidden and the notification counter (HU 10) is reduced.</t>
  </si>
  <si>
    <t>As a psychiatrist, I want a subtle visual cue (e.g., a blue dot) displayed next to the patient's name on the patient list if they have entered a new Emotional Diary or Questionnaire since my last review.</t>
  </si>
  <si>
    <t>Given a patient who has completed a new questionnaire or emotional diary, when the psychiatrist accesses the "Patient View", then a small visual indicator (e.g., a blue dot) appears next to the patient's name in the list.</t>
  </si>
  <si>
    <t>Since the psychiatrist clicks on the patient with the visual cue, and accesses the section where the new content is located (e.g., Questionnaire History), then the indicator disappears when the view loads.</t>
  </si>
  <si>
    <t>Since the psychiatrist navigates to the patient's file, the visual cue should remain visible in the patient list until they have actually reviewed the "Emotional Diary" or "Questionnaires" section.</t>
  </si>
  <si>
    <t>As a user, I want to be able to disable the display of daily tips or messages through the settings section to control the content I receive.</t>
  </si>
  <si>
    <t>Given a user, when they access the "Application Settings" section, they will find a clear option labeled "Show Daily Tips".</t>
  </si>
  <si>
    <t>Since the user disables the "Show Daily Tips" option and saves the settings, the tips stop appearing on the home screen or in the designated section.</t>
  </si>
  <si>
    <t>Since the user has disabled the feature, then by re-enabling the option in the settings, the daily tips will be displayed again in the application.</t>
  </si>
  <si>
    <t>As a psychiatrist, I want to be able to access a page that displays relevant content, my personal information, and that I can modify.</t>
  </si>
  <si>
    <t>Given a psychiatrist, when he accesses it, he will be able to view your personal information along with relevant content.</t>
  </si>
  <si>
    <t>Given a psychiatrist, that he/she may be able to edit his/her personal information in the user view.</t>
  </si>
  <si>
    <t>Given a psychiatrist, they can choose what to view in their details, their personal information, their calendar with their reminders, among other things.</t>
  </si>
  <si>
    <t>ID RNF</t>
  </si>
  <si>
    <t>Detalle</t>
  </si>
  <si>
    <t>COMODIN KAISO</t>
  </si>
  <si>
    <t>Estructura y Normalización de la Base de Datos</t>
  </si>
  <si>
    <t>La base de datos debe ser normalizada y estructurada para asegurar la separación lógica de los datos de salud mental (diagnósticos, recetas, respuestas) y optimizar la integridad referencial y la eficiencia de las consultas.</t>
  </si>
  <si>
    <t>Agilidad de Interfaz</t>
  </si>
  <si>
    <t>La interacción con la aplicación web (transiciones, desplazamiento y carga de elementos) debe ser fluida y reactiva, sin demoras visibles, manteniendo una sensación de respuesta inmediata al usuario.</t>
  </si>
  <si>
    <t>Mecanismo de Login Móvil</t>
  </si>
  <si>
    <t>El proceso de autenticación en la aplicación móvil debe estar restringido a la combinación de Correo Electrónico y Contraseña.</t>
  </si>
  <si>
    <t>Coherencia de Interfaz Móvil</t>
  </si>
  <si>
    <t>La interfaz de usuario en la aplicación móvil debe ser desarrollada siguiendo rigurosamente las guías de diseño establecidas (p. ej., por el equipo de diseño) para garantizar la coherencia y una experiencia de usuario optimizada para el tacto.</t>
  </si>
  <si>
    <t>Historial de cambios</t>
  </si>
  <si>
    <t>El historial de cambios (diagnóstico, receta, plan de seguridad) debe ser inmutable (append-only) para garantizar la integridad y la auditoría de los datos.</t>
  </si>
  <si>
    <t>Visualización de la Interfaz</t>
  </si>
  <si>
    <t>La interfaz de usuario debe ser intuitiva y consistente en todas las secciones, utilizando los mismos patrones de diseño y nomenclatura para acciones similares (ej. "Guardar", "Editar").</t>
  </si>
  <si>
    <t>Validación de datos</t>
  </si>
  <si>
    <t>Todo campo de entrada crítico debe incluir validación de datos en el lado del cliente y del servidor, mostrando mensajes de error claros y accionables al usuario.</t>
  </si>
  <si>
    <t>BD alertas</t>
  </si>
  <si>
    <t>Configurar tabla alertas (desvios y plan seguro) en BD para poder actualizar correctamente la HU9 y 10</t>
  </si>
  <si>
    <t>nuevas alertas</t>
  </si>
  <si>
    <t>Agregar alertas de cuestionarios y plan seguro</t>
  </si>
  <si>
    <t>Persona</t>
  </si>
  <si>
    <t>Fecha</t>
  </si>
  <si>
    <t>Horas Invertidas</t>
  </si>
  <si>
    <t>Nota</t>
  </si>
  <si>
    <t>Hay que modificar  visualmente el frame cuando no esten los consejos ya que se ve un poco raro</t>
  </si>
  <si>
    <t xml:space="preserve">Modifiqué Plan Seguro de modo que ahora es una coleccion de Consejos,
He creado el viewmodel del planseguro, ademas la nueva vista de edicion.
</t>
  </si>
  <si>
    <t>Smartwatch</t>
  </si>
  <si>
    <r>
      <rPr>
        <b/>
        <sz val="10"/>
        <rFont val="宋体"/>
        <charset val="134"/>
      </rPr>
      <t xml:space="preserve">Prueba adaptacion de healthconnect basado en este: </t>
    </r>
    <r>
      <rPr>
        <b/>
        <u/>
        <sz val="10"/>
        <color rgb="FF1155CC"/>
        <rFont val="宋体"/>
        <charset val="134"/>
      </rPr>
      <t>https://github.com/EagleDelux/androidx.health-connect-demo-.net-maui</t>
    </r>
  </si>
  <si>
    <t>Marketing</t>
  </si>
  <si>
    <t>Kaiso</t>
  </si>
  <si>
    <t>Diseño y Programación de Post Linkedlin</t>
  </si>
  <si>
    <t>Diseño y Edición Post Instagram</t>
  </si>
  <si>
    <t>HU 9 completa</t>
  </si>
  <si>
    <t>Criterio 1 completado.</t>
  </si>
  <si>
    <t>Criterio 2 y 3 completados, falta ponerle color con la vista jeje</t>
  </si>
  <si>
    <t>criterio 1 y 3 en curso</t>
  </si>
  <si>
    <t>Investigación, redacción y revisión del artículo para Linkedlin</t>
  </si>
  <si>
    <t>HU 10 casi completa y BD actualizada</t>
  </si>
  <si>
    <t>Creación vista detalles psiquiatra C1 y C3 cumplido</t>
  </si>
  <si>
    <t>Creación controllers y tablas relacionadas a calendario del psiquiatra, C1 cumplido.</t>
  </si>
  <si>
    <t>Creación tablas Logs, RecordatoriosPsiquiatra y modificación tabla Pacientes, UsuariosExternos.</t>
  </si>
  <si>
    <t>Vista edición de datos personales del psiquiatra, modificación método de edición. C2 completado.</t>
  </si>
  <si>
    <t>Ingreso, Edición, Eliminación de recordatorios implementado, colores a recordatorios personalizables, vista de agenda semanal por horas. C2 Y C3 completados.</t>
  </si>
  <si>
    <t>Modificaciones a tablas, columna de PlanSeguro en Paciente, Color y IsAllDay en tabla RecordatoriosPsiquiatra.</t>
  </si>
  <si>
    <t xml:space="preserve">Mejora visual de la página del producto </t>
  </si>
  <si>
    <t>Reintegrar algoritmo de alertas y Severidad en Pacientes</t>
  </si>
  <si>
    <t xml:space="preserve">Pruebas en Adaptacion de app health utilizada como prueba de concepto,probamos carga de datos en celular </t>
  </si>
  <si>
    <t>Integracion de app Health en MoodTAB, Se agregó en la vista HealthData. falta realizar pruebas con datos de smartwatch, el lunes me consigo uno jeje.</t>
  </si>
  <si>
    <t>Implementacion base de tutorial en movil</t>
  </si>
  <si>
    <t>login movil</t>
  </si>
  <si>
    <t>HU1</t>
  </si>
  <si>
    <t>Preparación de Post Linkedlin</t>
  </si>
  <si>
    <t>Implementación LOGS al crear Diario emocional</t>
  </si>
  <si>
    <t>HU2 Completa</t>
  </si>
  <si>
    <t>Modificación a Paciente/Details.cshtml para arreglar error de lectura de array vacío</t>
  </si>
  <si>
    <t>Modificacion tutorial inicial y creacion de tutorial para diario.</t>
  </si>
  <si>
    <t>Post de Linkedlin, revision de estudio citado y preparación instagram</t>
  </si>
  <si>
    <t>HU11y pulido de logs</t>
  </si>
  <si>
    <t>H3 Modificacion completa del modelo de datos.</t>
  </si>
  <si>
    <t>Testing</t>
  </si>
  <si>
    <t>Generación de Informe correcciones Testing</t>
  </si>
  <si>
    <t>Ahora si planseguro se guarda en la bd, se genera un log con la fecha y hora de modificacion</t>
  </si>
  <si>
    <t>logs de plan seguro y update datos paciente.</t>
  </si>
  <si>
    <t>Pruebas de UI Web</t>
  </si>
  <si>
    <t>Pruebas de UI Movil</t>
  </si>
  <si>
    <t>HU11</t>
  </si>
  <si>
    <t>Bug asociado a el plugin</t>
  </si>
  <si>
    <t>Practicar Pitch</t>
  </si>
  <si>
    <t>Reunion con la ayudante de diseño</t>
  </si>
  <si>
    <t>Diseño</t>
  </si>
  <si>
    <t>Aplicar cambios menores a UI movil</t>
  </si>
  <si>
    <t>HU5 Completa, cambios a ApiPlanSeguroEdit.cs para hacer lógica de añadir alertas.</t>
  </si>
  <si>
    <t>Implementacion healthdata en diario emocional, falta testear bien con datos.</t>
  </si>
  <si>
    <t>Mejora visual de planseguro y editar planseguro, preparacion de gifs para tutoriales</t>
  </si>
  <si>
    <t>Modificación de Pagina.css para mejorar visualización de los logs de PlanSeguro del Paciente</t>
  </si>
  <si>
    <t>Backend</t>
  </si>
  <si>
    <t>Modelacion de la nueva Arquitectura</t>
  </si>
  <si>
    <t>Pruebas Smartwatch Frecuencia Cardiaca y Pasos</t>
  </si>
  <si>
    <t>ultimas mejoras de diseño movil + pequeñas mejoras web</t>
  </si>
  <si>
    <t>Sophie</t>
  </si>
  <si>
    <t>Codigo de HealthConnect</t>
  </si>
  <si>
    <t>Codigo relacionado a la cuarta HU</t>
  </si>
  <si>
    <t>Toques finales y revisiones de la HU 4</t>
  </si>
  <si>
    <t>Codigo HealthConnect</t>
  </si>
  <si>
    <t>meeting</t>
  </si>
  <si>
    <t>Coordinacion de metas y distintos meeting con el cliente, para ver sus necesidades y sus opiniones de nuestro avance</t>
  </si>
  <si>
    <t>Testing Celular</t>
  </si>
  <si>
    <t>Video HDU</t>
  </si>
  <si>
    <t>Video HU Cliente</t>
  </si>
  <si>
    <t>&lt;- No sé si cuenta o no... Lo puse porque igual estuve viendo algunas cosas como encontrando bugs en el telefono</t>
  </si>
  <si>
    <t>Testing IA</t>
  </si>
  <si>
    <t>Testing Web</t>
  </si>
  <si>
    <t>Inicio y finalizacion de el onboarding de web</t>
  </si>
  <si>
    <t>Reunión con Byron</t>
  </si>
  <si>
    <t>Video Interaccion usuario Psiquiatra</t>
  </si>
  <si>
    <t>Notas y Comentarios</t>
  </si>
  <si>
    <t>Actualmente estoy modificando los consejos que agregue en el diccionario de globals</t>
  </si>
  <si>
    <t>Cree un metodo get para los cuestionarios completados.</t>
  </si>
  <si>
    <t>README</t>
  </si>
  <si>
    <t>Si te encuentras desarrollando una HU que afecta o puede afectar a otra, deja una nota para hacerle saber al resto los detalles que consideres pertinentes.</t>
  </si>
  <si>
    <t>A la mierda los consejos lo de ahora son listas de strings para un tip/consejo y listas de un obj persona/ocntacto</t>
  </si>
  <si>
    <t>Descripción Incidentes</t>
  </si>
  <si>
    <t>¿Impidió Avance?</t>
  </si>
  <si>
    <t>Re-Trabajo (Hrs)</t>
  </si>
  <si>
    <t>Bugs Encontrados</t>
  </si>
  <si>
    <t>NaN</t>
  </si>
  <si>
    <t>ME PITIEEE LA BD!!!!!!!!!!!!!!!!!!!!!!!!!!!!!!!!!!!!!</t>
  </si>
  <si>
    <t>el plugin no tiene declarada la funcion getHeartRateVariabilityMillis en los registros de HRV</t>
  </si>
  <si>
    <t>Si al estar desarrollando una HU ocurre un imprevisto remarcable que obstaculice tu progreso, reportalo aqui.</t>
  </si>
  <si>
    <t>Story Points (SP)</t>
  </si>
  <si>
    <t>Estimación de Horas</t>
  </si>
  <si>
    <t>Total Personas Asignadas</t>
  </si>
  <si>
    <t>Horas Reales</t>
  </si>
  <si>
    <t>Desviación</t>
  </si>
  <si>
    <t>Total Bloqueos</t>
  </si>
  <si>
    <t>Re-trabajo (hrs)</t>
  </si>
  <si>
    <t>Total Bugs Encontrados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</si>
</sst>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s>
  <fonts count="29">
    <font>
      <sz val="10"/>
      <color rgb="FF000000"/>
      <name val="Verdana"/>
      <charset val="134"/>
      <scheme val="minor"/>
    </font>
    <font>
      <sz val="10"/>
      <color theme="1"/>
      <name val="Verdana"/>
      <charset val="134"/>
      <scheme val="minor"/>
    </font>
    <font>
      <b/>
      <sz val="10"/>
      <color theme="1"/>
      <name val="Verdana"/>
      <charset val="134"/>
      <scheme val="minor"/>
    </font>
    <font>
      <sz val="10"/>
      <name val="Verdana"/>
      <charset val="134"/>
      <scheme val="minor"/>
    </font>
    <font>
      <b/>
      <u/>
      <sz val="10"/>
      <color rgb="FF0000FF"/>
      <name val="Roboto"/>
      <charset val="134"/>
    </font>
    <font>
      <sz val="9"/>
      <color theme="1"/>
      <name val="Google Sans Mono"/>
      <charset val="134"/>
    </font>
    <font>
      <b/>
      <strike/>
      <sz val="10"/>
      <color theme="1"/>
      <name val="Verdana"/>
      <charset val="134"/>
      <scheme val="minor"/>
    </font>
    <font>
      <sz val="11"/>
      <color theme="1"/>
      <name val="Verdana"/>
      <charset val="134"/>
      <scheme val="minor"/>
    </font>
    <font>
      <u/>
      <sz val="11"/>
      <color rgb="FF0000FF"/>
      <name val="Verdana"/>
      <charset val="0"/>
      <scheme val="minor"/>
    </font>
    <font>
      <u/>
      <sz val="11"/>
      <color rgb="FF800080"/>
      <name val="Verdana"/>
      <charset val="0"/>
      <scheme val="minor"/>
    </font>
    <font>
      <sz val="11"/>
      <color rgb="FFFF0000"/>
      <name val="Verdana"/>
      <charset val="0"/>
      <scheme val="minor"/>
    </font>
    <font>
      <b/>
      <sz val="18"/>
      <color theme="3"/>
      <name val="Verdana"/>
      <charset val="134"/>
      <scheme val="minor"/>
    </font>
    <font>
      <i/>
      <sz val="11"/>
      <color rgb="FF7F7F7F"/>
      <name val="Verdana"/>
      <charset val="0"/>
      <scheme val="minor"/>
    </font>
    <font>
      <b/>
      <sz val="15"/>
      <color theme="3"/>
      <name val="Verdana"/>
      <charset val="134"/>
      <scheme val="minor"/>
    </font>
    <font>
      <b/>
      <sz val="13"/>
      <color theme="3"/>
      <name val="Verdana"/>
      <charset val="134"/>
      <scheme val="minor"/>
    </font>
    <font>
      <b/>
      <sz val="11"/>
      <color theme="3"/>
      <name val="Verdana"/>
      <charset val="134"/>
      <scheme val="minor"/>
    </font>
    <font>
      <sz val="11"/>
      <color rgb="FF3F3F76"/>
      <name val="Verdana"/>
      <charset val="0"/>
      <scheme val="minor"/>
    </font>
    <font>
      <b/>
      <sz val="11"/>
      <color rgb="FF3F3F3F"/>
      <name val="Verdana"/>
      <charset val="0"/>
      <scheme val="minor"/>
    </font>
    <font>
      <b/>
      <sz val="11"/>
      <color rgb="FFFA7D00"/>
      <name val="Verdana"/>
      <charset val="0"/>
      <scheme val="minor"/>
    </font>
    <font>
      <b/>
      <sz val="11"/>
      <color rgb="FFFFFFFF"/>
      <name val="Verdana"/>
      <charset val="0"/>
      <scheme val="minor"/>
    </font>
    <font>
      <sz val="11"/>
      <color rgb="FFFA7D00"/>
      <name val="Verdana"/>
      <charset val="0"/>
      <scheme val="minor"/>
    </font>
    <font>
      <b/>
      <sz val="11"/>
      <color theme="1"/>
      <name val="Verdana"/>
      <charset val="0"/>
      <scheme val="minor"/>
    </font>
    <font>
      <sz val="11"/>
      <color rgb="FF006100"/>
      <name val="Verdana"/>
      <charset val="0"/>
      <scheme val="minor"/>
    </font>
    <font>
      <sz val="11"/>
      <color rgb="FF9C0006"/>
      <name val="Verdana"/>
      <charset val="0"/>
      <scheme val="minor"/>
    </font>
    <font>
      <sz val="11"/>
      <color rgb="FF9C6500"/>
      <name val="Verdana"/>
      <charset val="0"/>
      <scheme val="minor"/>
    </font>
    <font>
      <sz val="11"/>
      <color theme="0"/>
      <name val="Verdana"/>
      <charset val="0"/>
      <scheme val="minor"/>
    </font>
    <font>
      <sz val="11"/>
      <color theme="1"/>
      <name val="Verdana"/>
      <charset val="0"/>
      <scheme val="minor"/>
    </font>
    <font>
      <b/>
      <sz val="10"/>
      <name val="宋体"/>
      <charset val="134"/>
    </font>
    <font>
      <b/>
      <u/>
      <sz val="10"/>
      <color rgb="FF1155CC"/>
      <name val="宋体"/>
      <charset val="134"/>
    </font>
  </fonts>
  <fills count="34">
    <fill>
      <patternFill patternType="none"/>
    </fill>
    <fill>
      <patternFill patternType="gray125"/>
    </fill>
    <fill>
      <patternFill patternType="solid">
        <fgColor rgb="FFF4C7C3"/>
        <bgColor rgb="FFF4C7C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0" applyNumberFormat="0" applyFill="0" applyAlignment="0" applyProtection="0">
      <alignment vertical="center"/>
    </xf>
    <xf numFmtId="0" fontId="14" fillId="0" borderId="20" applyNumberFormat="0" applyFill="0" applyAlignment="0" applyProtection="0">
      <alignment vertical="center"/>
    </xf>
    <xf numFmtId="0" fontId="15" fillId="0" borderId="21" applyNumberFormat="0" applyFill="0" applyAlignment="0" applyProtection="0">
      <alignment vertical="center"/>
    </xf>
    <xf numFmtId="0" fontId="15" fillId="0" borderId="0" applyNumberFormat="0" applyFill="0" applyBorder="0" applyAlignment="0" applyProtection="0">
      <alignment vertical="center"/>
    </xf>
    <xf numFmtId="0" fontId="16" fillId="4" borderId="22" applyNumberFormat="0" applyAlignment="0" applyProtection="0">
      <alignment vertical="center"/>
    </xf>
    <xf numFmtId="0" fontId="17" fillId="5" borderId="23" applyNumberFormat="0" applyAlignment="0" applyProtection="0">
      <alignment vertical="center"/>
    </xf>
    <xf numFmtId="0" fontId="18" fillId="5" borderId="22" applyNumberFormat="0" applyAlignment="0" applyProtection="0">
      <alignment vertical="center"/>
    </xf>
    <xf numFmtId="0" fontId="19" fillId="6" borderId="24" applyNumberFormat="0" applyAlignment="0" applyProtection="0">
      <alignment vertical="center"/>
    </xf>
    <xf numFmtId="0" fontId="20" fillId="0" borderId="25" applyNumberFormat="0" applyFill="0" applyAlignment="0" applyProtection="0">
      <alignment vertical="center"/>
    </xf>
    <xf numFmtId="0" fontId="21" fillId="0" borderId="26"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65">
    <xf numFmtId="0" fontId="0" fillId="0" borderId="0" xfId="0" applyFont="1" applyAlignment="1"/>
    <xf numFmtId="0" fontId="1" fillId="0" borderId="0" xfId="0" applyFont="1" applyAlignment="1">
      <alignment horizontal="left" vertical="center" wrapText="1"/>
    </xf>
    <xf numFmtId="0" fontId="1" fillId="0" borderId="0" xfId="0" applyFont="1" applyAlignment="1">
      <alignment horizontal="lef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0" xfId="0" applyFont="1" applyAlignment="1">
      <alignment vertical="center"/>
    </xf>
    <xf numFmtId="0" fontId="2" fillId="0" borderId="5" xfId="0" applyFont="1" applyBorder="1" applyAlignment="1">
      <alignment vertical="center"/>
    </xf>
    <xf numFmtId="49" fontId="2" fillId="0" borderId="2" xfId="0" applyNumberFormat="1" applyFont="1" applyBorder="1" applyAlignment="1">
      <alignment vertical="center"/>
    </xf>
    <xf numFmtId="0" fontId="2" fillId="0" borderId="2" xfId="0" applyFont="1" applyBorder="1" applyAlignment="1">
      <alignment horizontal="center" vertical="center"/>
    </xf>
    <xf numFmtId="49" fontId="2" fillId="0" borderId="0" xfId="0" applyNumberFormat="1" applyFont="1" applyAlignment="1">
      <alignment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2"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1" fillId="0" borderId="0" xfId="0" applyFont="1" applyAlignment="1"/>
    <xf numFmtId="0" fontId="2" fillId="0" borderId="8" xfId="0" applyFont="1" applyBorder="1" applyAlignment="1">
      <alignment vertical="center"/>
    </xf>
    <xf numFmtId="49" fontId="2" fillId="0" borderId="9" xfId="0" applyNumberFormat="1" applyFont="1" applyBorder="1" applyAlignment="1">
      <alignment vertical="center"/>
    </xf>
    <xf numFmtId="0" fontId="2" fillId="0" borderId="9" xfId="0" applyFont="1" applyBorder="1" applyAlignment="1">
      <alignment horizontal="center" vertical="center"/>
    </xf>
    <xf numFmtId="0" fontId="2" fillId="0" borderId="9" xfId="0" applyFont="1" applyBorder="1" applyAlignment="1">
      <alignment vertical="center"/>
    </xf>
    <xf numFmtId="0" fontId="2" fillId="0" borderId="10" xfId="0" applyFont="1" applyBorder="1" applyAlignment="1">
      <alignment vertical="center"/>
    </xf>
    <xf numFmtId="178" fontId="2" fillId="0" borderId="2" xfId="0" applyNumberFormat="1" applyFont="1" applyBorder="1" applyAlignment="1">
      <alignment vertical="center"/>
    </xf>
    <xf numFmtId="49" fontId="2" fillId="0" borderId="3" xfId="0" applyNumberFormat="1" applyFont="1" applyBorder="1" applyAlignment="1">
      <alignment vertical="center" wrapText="1"/>
    </xf>
    <xf numFmtId="178" fontId="2" fillId="0" borderId="0" xfId="0" applyNumberFormat="1" applyFont="1" applyAlignment="1">
      <alignment vertical="center"/>
    </xf>
    <xf numFmtId="49" fontId="2" fillId="0" borderId="5" xfId="0" applyNumberFormat="1" applyFont="1" applyBorder="1" applyAlignment="1">
      <alignment vertical="center" wrapText="1"/>
    </xf>
    <xf numFmtId="178" fontId="2" fillId="0" borderId="9" xfId="0" applyNumberFormat="1" applyFont="1" applyBorder="1" applyAlignment="1">
      <alignment vertical="center"/>
    </xf>
    <xf numFmtId="49" fontId="2" fillId="0" borderId="10" xfId="0" applyNumberFormat="1" applyFont="1" applyBorder="1" applyAlignment="1">
      <alignment vertical="center" wrapText="1"/>
    </xf>
    <xf numFmtId="0" fontId="2" fillId="0" borderId="0" xfId="0" applyFont="1" applyAlignment="1">
      <alignment horizontal="right" vertical="center"/>
    </xf>
    <xf numFmtId="0" fontId="4" fillId="0" borderId="0" xfId="0" applyFont="1" applyAlignment="1">
      <alignment vertical="center"/>
    </xf>
    <xf numFmtId="178" fontId="5" fillId="0" borderId="0" xfId="0" applyNumberFormat="1" applyFont="1" applyAlignment="1">
      <alignment vertical="center"/>
    </xf>
    <xf numFmtId="0" fontId="6"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xf>
    <xf numFmtId="49" fontId="2" fillId="0" borderId="0" xfId="0" applyNumberFormat="1" applyFont="1" applyAlignment="1">
      <alignment vertical="center" wrapText="1"/>
    </xf>
    <xf numFmtId="0" fontId="2" fillId="0" borderId="0" xfId="0" applyFont="1" applyAlignment="1">
      <alignment horizontal="center" vertical="center" wrapText="1"/>
    </xf>
    <xf numFmtId="0" fontId="1" fillId="0" borderId="0" xfId="0" applyFont="1" applyAlignment="1">
      <alignment vertical="center"/>
    </xf>
    <xf numFmtId="49" fontId="1" fillId="0" borderId="0" xfId="0" applyNumberFormat="1" applyFont="1" applyAlignment="1">
      <alignment vertical="center"/>
    </xf>
    <xf numFmtId="0" fontId="2" fillId="0" borderId="0" xfId="0" applyFont="1" applyAlignment="1">
      <alignment wrapText="1"/>
    </xf>
    <xf numFmtId="0" fontId="2" fillId="0" borderId="0" xfId="0" applyFont="1" applyAlignment="1">
      <alignment horizont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xf>
    <xf numFmtId="0" fontId="2" fillId="0" borderId="11" xfId="0" applyFont="1" applyBorder="1" applyAlignment="1">
      <alignment vertical="center"/>
    </xf>
    <xf numFmtId="49" fontId="2" fillId="0" borderId="12" xfId="0" applyNumberFormat="1" applyFont="1" applyBorder="1" applyAlignment="1">
      <alignment vertical="center"/>
    </xf>
    <xf numFmtId="0" fontId="2" fillId="0" borderId="12" xfId="0" applyFont="1" applyBorder="1" applyAlignment="1">
      <alignment horizontal="center" vertical="center"/>
    </xf>
    <xf numFmtId="0" fontId="2" fillId="0" borderId="12" xfId="0" applyFont="1" applyBorder="1" applyAlignment="1">
      <alignment vertical="center"/>
    </xf>
    <xf numFmtId="49" fontId="2" fillId="0" borderId="12" xfId="0" applyNumberFormat="1" applyFont="1" applyBorder="1" applyAlignment="1">
      <alignment horizontal="center" vertical="center"/>
    </xf>
    <xf numFmtId="178" fontId="2" fillId="0" borderId="12" xfId="0" applyNumberFormat="1" applyFont="1" applyBorder="1" applyAlignment="1">
      <alignment vertical="center"/>
    </xf>
    <xf numFmtId="178" fontId="2" fillId="0" borderId="13" xfId="0" applyNumberFormat="1" applyFont="1" applyBorder="1" applyAlignment="1">
      <alignment vertical="center"/>
    </xf>
    <xf numFmtId="0" fontId="2" fillId="0" borderId="14" xfId="0" applyFont="1" applyBorder="1" applyAlignment="1">
      <alignment vertical="center"/>
    </xf>
    <xf numFmtId="49" fontId="2" fillId="0" borderId="0" xfId="0" applyNumberFormat="1" applyFont="1" applyAlignment="1">
      <alignment horizontal="center" vertical="center"/>
    </xf>
    <xf numFmtId="178" fontId="2" fillId="0" borderId="15" xfId="0" applyNumberFormat="1" applyFont="1" applyBorder="1" applyAlignment="1">
      <alignment vertical="center"/>
    </xf>
    <xf numFmtId="0" fontId="2" fillId="0" borderId="14" xfId="0" applyFont="1" applyBorder="1" applyAlignment="1">
      <alignment horizontal="right" vertical="center"/>
    </xf>
    <xf numFmtId="0" fontId="2" fillId="0" borderId="16" xfId="0" applyFont="1" applyBorder="1" applyAlignment="1">
      <alignment horizontal="right" vertical="center"/>
    </xf>
    <xf numFmtId="49" fontId="2" fillId="0" borderId="17" xfId="0" applyNumberFormat="1" applyFont="1" applyBorder="1" applyAlignment="1">
      <alignment vertical="center"/>
    </xf>
    <xf numFmtId="0" fontId="2" fillId="0" borderId="17" xfId="0" applyFont="1" applyBorder="1" applyAlignment="1">
      <alignment horizontal="center" vertical="center"/>
    </xf>
    <xf numFmtId="0" fontId="2" fillId="0" borderId="17" xfId="0" applyFont="1" applyBorder="1" applyAlignment="1">
      <alignment vertical="center"/>
    </xf>
    <xf numFmtId="49" fontId="2" fillId="0" borderId="17" xfId="0" applyNumberFormat="1" applyFont="1" applyBorder="1" applyAlignment="1">
      <alignment horizontal="center" vertical="center"/>
    </xf>
    <xf numFmtId="178" fontId="2" fillId="0" borderId="17" xfId="0" applyNumberFormat="1" applyFont="1" applyBorder="1" applyAlignment="1">
      <alignment vertical="center"/>
    </xf>
    <xf numFmtId="178" fontId="2" fillId="0" borderId="18" xfId="0" applyNumberFormat="1" applyFont="1" applyBorder="1" applyAlignment="1">
      <alignment vertical="center"/>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80">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ill>
        <patternFill patternType="solid">
          <fgColor rgb="FFB7E1CD"/>
          <bgColor rgb="FFB7E1CD"/>
        </patternFill>
      </fill>
    </dxf>
    <dxf>
      <fill>
        <patternFill patternType="solid">
          <fgColor rgb="FFF4C7C3"/>
          <bgColor rgb="FFF4C7C3"/>
        </patternFill>
      </fill>
    </dxf>
    <dxf>
      <fill>
        <patternFill patternType="solid">
          <fgColor rgb="FFFCE8B2"/>
          <bgColor rgb="FFFCE8B2"/>
        </patternFill>
      </fill>
    </dxf>
    <dxf>
      <font>
        <b val="1"/>
      </font>
      <fill>
        <patternFill patternType="solid">
          <fgColor rgb="FFB7E1CD"/>
          <bgColor rgb="FFB7E1CD"/>
        </patternFill>
      </fill>
    </dxf>
    <dxf>
      <font>
        <b val="1"/>
      </font>
      <fill>
        <patternFill patternType="solid">
          <fgColor rgb="FFFFE599"/>
          <bgColor rgb="FFFFE599"/>
        </patternFill>
      </fill>
    </dxf>
    <dxf>
      <font>
        <b val="1"/>
      </font>
      <fill>
        <patternFill patternType="solid">
          <fgColor rgb="FFF4C7C3"/>
          <bgColor rgb="FFF4C7C3"/>
        </patternFill>
      </fill>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ont>
        <name val="Verdana"/>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00AAFF"/>
          <bgColor rgb="FF00AA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853C9"/>
          <bgColor rgb="FFC853C9"/>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356854"/>
        </left>
        <right style="thin">
          <color rgb="FF356854"/>
        </right>
        <top style="thin">
          <color rgb="FF356854"/>
        </top>
        <bottom style="thin">
          <color rgb="FF356854"/>
        </bottom>
      </border>
    </dxf>
  </dxfs>
  <tableStyles count="7">
    <tableStyle name="Sprint 3 Backlog-style" pivot="0" count="4" xr9:uid="{107ADEA3-A076-42A5-9020-AA40A8758611}">
      <tableStyleElement type="wholeTable" dxfId="55"/>
      <tableStyleElement type="headerRow" dxfId="54"/>
      <tableStyleElement type="firstRowStripe" dxfId="53"/>
      <tableStyleElement type="secondRowStripe" dxfId="52"/>
    </tableStyle>
    <tableStyle name="Listado de HUs-style" pivot="0" count="4" xr9:uid="{EA84FC6F-0110-4E6D-8D3E-A25E06B4F298}">
      <tableStyleElement type="wholeTable" dxfId="59"/>
      <tableStyleElement type="headerRow" dxfId="58"/>
      <tableStyleElement type="firstRowStripe" dxfId="57"/>
      <tableStyleElement type="secondRowStripe" dxfId="56"/>
    </tableStyle>
    <tableStyle name="Requisitos No Funcionales-style" pivot="0" count="4" xr9:uid="{18FB5076-03A8-4800-8ADD-443E8559EC3A}">
      <tableStyleElement type="wholeTable" dxfId="63"/>
      <tableStyleElement type="headerRow" dxfId="62"/>
      <tableStyleElement type="firstRowStripe" dxfId="61"/>
      <tableStyleElement type="secondRowStripe" dxfId="60"/>
    </tableStyle>
    <tableStyle name="Registro de Horas Trabajadas-style" pivot="0" count="4" xr9:uid="{D61B688C-8348-449F-BAD8-A0FCDC1FECEA}">
      <tableStyleElement type="wholeTable" dxfId="67"/>
      <tableStyleElement type="headerRow" dxfId="66"/>
      <tableStyleElement type="firstRowStripe" dxfId="65"/>
      <tableStyleElement type="secondRowStripe" dxfId="64"/>
    </tableStyle>
    <tableStyle name="Comentarios HUs-style" pivot="0" count="4" xr9:uid="{7A9BA801-64E5-45F4-93B1-1E48B4959CC3}">
      <tableStyleElement type="wholeTable" dxfId="71"/>
      <tableStyleElement type="headerRow" dxfId="70"/>
      <tableStyleElement type="firstRowStripe" dxfId="69"/>
      <tableStyleElement type="secondRowStripe" dxfId="68"/>
    </tableStyle>
    <tableStyle name="Registro de Incidentes-style" pivot="0" count="4" xr9:uid="{B206E2E2-4000-4F9B-A530-E414548F2E00}">
      <tableStyleElement type="wholeTable" dxfId="75"/>
      <tableStyleElement type="headerRow" dxfId="74"/>
      <tableStyleElement type="firstRowStripe" dxfId="73"/>
      <tableStyleElement type="secondRowStripe" dxfId="72"/>
    </tableStyle>
    <tableStyle name="Métricas Memoria-style" pivot="0" count="4" xr9:uid="{CD5FE3F8-5C7B-4D5E-9B78-9483967BC7C5}">
      <tableStyleElement type="wholeTable" dxfId="79"/>
      <tableStyleElement type="headerRow" dxfId="78"/>
      <tableStyleElement type="firstRowStripe" dxfId="77"/>
      <tableStyleElement type="secondRowStripe" dxfId="7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1" name="Sprint_3_Backlog" displayName="Sprint_3_Backlog" ref="A1:K23">
  <tableColumns count="11">
    <tableColumn id="1" name="ID HUs" dataDxfId="0"/>
    <tableColumn id="2" name="Título" dataDxfId="1"/>
    <tableColumn id="3" name="C1" dataDxfId="2"/>
    <tableColumn id="4" name="C2" dataDxfId="3"/>
    <tableColumn id="5" name="C3" dataDxfId="4"/>
    <tableColumn id="6" name="SP" dataDxfId="5"/>
    <tableColumn id="7" name="Tiempo Real Invertido (Hrs)" dataDxfId="6"/>
    <tableColumn id="8" name="Estado" dataDxfId="7"/>
    <tableColumn id="9" name="Responsable" dataDxfId="8"/>
    <tableColumn id="10" name="Fecha Inicio" dataDxfId="9"/>
    <tableColumn id="11" name="Fecha Fin" dataDxfId="10"/>
  </tableColumns>
  <tableStyleInfo name="Sprint 3 Backlog-style" showFirstColumn="1" showLastColumn="1" showRowStripes="1" showColumnStripes="0"/>
</table>
</file>

<file path=xl/tables/table2.xml><?xml version="1.0" encoding="utf-8"?>
<table xmlns="http://schemas.openxmlformats.org/spreadsheetml/2006/main" id="2" name="Listado_de_HUs" displayName="Listado_de_HUs" ref="A1:H14">
  <tableColumns count="8">
    <tableColumn id="1" name="ID HU" dataDxfId="17"/>
    <tableColumn id="2" name="Título" dataDxfId="18"/>
    <tableColumn id="3" name="SP" dataDxfId="19"/>
    <tableColumn id="4" name="Historia de Usuario" dataDxfId="20"/>
    <tableColumn id="5" name="Criterios de Aceptación" dataDxfId="21"/>
    <tableColumn id="6" name="Criterio de Aceptación 1" dataDxfId="22"/>
    <tableColumn id="7" name="Criterio de Aceptación 2" dataDxfId="23"/>
    <tableColumn id="8" name="Criterio de Aceptación 3" dataDxfId="24"/>
  </tableColumns>
  <tableStyleInfo name="Listado de HUs-style" showFirstColumn="1" showLastColumn="1" showRowStripes="1" showColumnStripes="0"/>
</table>
</file>

<file path=xl/tables/table3.xml><?xml version="1.0" encoding="utf-8"?>
<table xmlns="http://schemas.openxmlformats.org/spreadsheetml/2006/main" id="3" name="Requisitos_No_Funcionales" displayName="Requisitos_No_Funcionales" ref="A1:D10">
  <tableColumns count="4">
    <tableColumn id="1" name="ID RNF" dataDxfId="25"/>
    <tableColumn id="2" name="Título" dataDxfId="26"/>
    <tableColumn id="3" name="Detalle" dataDxfId="27"/>
    <tableColumn id="4" name="COMODIN KAISO" dataDxfId="28"/>
  </tableColumns>
  <tableStyleInfo name="Requisitos No Funcionales-style" showFirstColumn="1" showLastColumn="1" showRowStripes="1" showColumnStripes="0"/>
</table>
</file>

<file path=xl/tables/table4.xml><?xml version="1.0" encoding="utf-8"?>
<table xmlns="http://schemas.openxmlformats.org/spreadsheetml/2006/main" id="4" name="Registro_de_Horas" displayName="Registro_de_Horas" ref="A1:E1020">
  <tableColumns count="5">
    <tableColumn id="1" name="ID HUs" dataDxfId="29"/>
    <tableColumn id="2" name="Persona" dataDxfId="30"/>
    <tableColumn id="3" name="Fecha" dataDxfId="31"/>
    <tableColumn id="4" name="Horas Invertidas" dataDxfId="32"/>
    <tableColumn id="5" name="Nota" dataDxfId="33"/>
  </tableColumns>
  <tableStyleInfo name="Registro de Horas Trabajadas-style" showFirstColumn="1" showLastColumn="1" showRowStripes="1" showColumnStripes="0"/>
</table>
</file>

<file path=xl/tables/table5.xml><?xml version="1.0" encoding="utf-8"?>
<table xmlns="http://schemas.openxmlformats.org/spreadsheetml/2006/main" id="5" name="Comentarios_HUs" displayName="Comentarios_HUs" ref="A1:D15">
  <tableColumns count="4">
    <tableColumn id="1" name="ID HUs" dataDxfId="34"/>
    <tableColumn id="2" name="Persona" dataDxfId="35"/>
    <tableColumn id="3" name="Fecha" dataDxfId="36"/>
    <tableColumn id="4" name="Notas y Comentarios" dataDxfId="37"/>
  </tableColumns>
  <tableStyleInfo name="Comentarios HUs-style" showFirstColumn="1" showLastColumn="1" showRowStripes="1" showColumnStripes="0"/>
</table>
</file>

<file path=xl/tables/table6.xml><?xml version="1.0" encoding="utf-8"?>
<table xmlns="http://schemas.openxmlformats.org/spreadsheetml/2006/main" id="6" name="Registro_de_Incidentes" displayName="Registro_de_Incidentes" ref="A1:E15">
  <tableColumns count="5">
    <tableColumn id="1" name="ID HUs" dataDxfId="38"/>
    <tableColumn id="2" name="Descripción Incidentes" dataDxfId="39"/>
    <tableColumn id="3" name="¿Impidió Avance?" dataDxfId="40"/>
    <tableColumn id="4" name="Re-Trabajo (Hrs)" dataDxfId="41"/>
    <tableColumn id="5" name="Bugs Encontrados" dataDxfId="42"/>
  </tableColumns>
  <tableStyleInfo name="Registro de Incidentes-style" showFirstColumn="1" showLastColumn="1" showRowStripes="1" showColumnStripes="0"/>
</table>
</file>

<file path=xl/tables/table7.xml><?xml version="1.0" encoding="utf-8"?>
<table xmlns="http://schemas.openxmlformats.org/spreadsheetml/2006/main" id="7" name="Métricas_Memoria" displayName="Métricas_Memoria" ref="A1:I23">
  <tableColumns count="9">
    <tableColumn id="1" name="ID HUs" dataDxfId="43"/>
    <tableColumn id="2" name="Story Points (SP)" dataDxfId="44"/>
    <tableColumn id="3" name="Estimación de Horas" dataDxfId="45"/>
    <tableColumn id="4" name="Total Personas Asignadas" dataDxfId="46"/>
    <tableColumn id="5" name="Horas Reales" dataDxfId="47"/>
    <tableColumn id="6" name="Desviación" dataDxfId="48"/>
    <tableColumn id="7" name="Total Bloqueos" dataDxfId="49"/>
    <tableColumn id="8" name="Re-trabajo (hrs)" dataDxfId="50"/>
    <tableColumn id="9" name="Total Bugs Encontrados" dataDxfId="51"/>
  </tableColumns>
  <tableStyleInfo name="Métricas Memoria-style" showFirstColumn="1" showLastColumn="1" showRowStripes="1" showColumnStripes="0"/>
</table>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hyperlink" Target="https://github.com/EagleDelux/androidx.health-connect-demo-.net-maui" TargetMode="Externa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AA84F"/>
    <outlinePr summaryBelow="0" summaryRight="0"/>
  </sheetPr>
  <dimension ref="A1:M23"/>
  <sheetViews>
    <sheetView tabSelected="1" workbookViewId="0">
      <pane ySplit="1" topLeftCell="A2" activePane="bottomLeft" state="frozen"/>
      <selection/>
      <selection pane="bottomLeft" activeCell="C30" sqref="C30"/>
    </sheetView>
  </sheetViews>
  <sheetFormatPr defaultColWidth="11.2166666666667" defaultRowHeight="15.75" customHeight="1"/>
  <cols>
    <col min="1" max="1" width="17.7833333333333" customWidth="1"/>
    <col min="2" max="2" width="38.2166666666667" customWidth="1"/>
    <col min="3" max="3" width="9.78333333333333" customWidth="1"/>
    <col min="4" max="5" width="9.55833333333333" customWidth="1"/>
    <col min="6" max="6" width="10.2166666666667" customWidth="1"/>
    <col min="7" max="7" width="26.4416666666667" customWidth="1"/>
    <col min="8" max="8" width="12.2166666666667" customWidth="1"/>
    <col min="9" max="9" width="22.1083333333333" customWidth="1"/>
    <col min="10" max="10" width="15.6666666666667" customWidth="1"/>
    <col min="11" max="11" width="14.4416666666667" customWidth="1"/>
    <col min="12" max="13" width="3.44166666666667" customWidth="1"/>
    <col min="14" max="14" width="3.66666666666667" customWidth="1"/>
    <col min="15" max="15" width="3.44166666666667" customWidth="1"/>
    <col min="16" max="16" width="3.55833333333333" customWidth="1"/>
  </cols>
  <sheetData>
    <row r="1" ht="22.5" customHeight="1" spans="1:13">
      <c r="A1" s="45" t="s">
        <v>0</v>
      </c>
      <c r="B1" s="45" t="s">
        <v>1</v>
      </c>
      <c r="C1" s="45" t="s">
        <v>2</v>
      </c>
      <c r="D1" s="45" t="s">
        <v>3</v>
      </c>
      <c r="E1" s="45" t="s">
        <v>4</v>
      </c>
      <c r="F1" s="45" t="s">
        <v>5</v>
      </c>
      <c r="G1" s="46" t="s">
        <v>6</v>
      </c>
      <c r="H1" s="46" t="s">
        <v>7</v>
      </c>
      <c r="I1" s="46" t="s">
        <v>8</v>
      </c>
      <c r="J1" s="46" t="s">
        <v>9</v>
      </c>
      <c r="K1" s="46" t="s">
        <v>10</v>
      </c>
    </row>
    <row r="2" ht="22.5" customHeight="1" spans="1:13">
      <c r="A2" s="47">
        <f>IFERROR(__xludf.DUMMYFUNCTION("FILTER({'Listado de HUs'!A2:A23; 'Requisitos No Funcionales'!A2:A23}, {LEN('Listado de HUs'!A2:A23); LEN('Requisitos No Funcionales'!A2:A23)})
"),1)</f>
        <v>1</v>
      </c>
      <c r="B2" s="48" t="s">
        <v>11</v>
      </c>
      <c r="C2" s="49" t="b">
        <v>1</v>
      </c>
      <c r="D2" s="49" t="b">
        <v>1</v>
      </c>
      <c r="E2" s="49" t="b">
        <v>1</v>
      </c>
      <c r="F2" s="50">
        <f t="array" ref="F2:F23">IF(ISBLANK(A2:A23),"",IFERROR(VLOOKUP(A2:A23,'Requisitos No Funcionales'!A:A,1,FALSE)*0,IFERROR(VLOOKUP(A2:A23,'Listado de HUs'!A:C,3,FALSE),0)))</f>
        <v>6</v>
      </c>
      <c r="G2" s="50">
        <f t="array" ref="G2:G23">IF(A2:A23="","",SUMIF('Registro de Horas Trabajadas'!A:A,A2:A23,'Registro de Horas Trabajadas'!D:D))</f>
        <v>1</v>
      </c>
      <c r="H2" s="51" t="str">
        <f t="shared" ref="H2:H23" si="0">IF(COUNTIF(C2:E2,TRUE)=0,"Pendiente",IF(COUNTIF(C2:E2,TRUE)=3,"Completado","En curso"))</f>
        <v>Completado</v>
      </c>
      <c r="I2" s="50" t="s">
        <v>12</v>
      </c>
      <c r="J2" s="52">
        <v>45960</v>
      </c>
      <c r="K2" s="53">
        <v>45963</v>
      </c>
    </row>
    <row r="3" ht="22.5" customHeight="1" spans="1:13">
      <c r="A3" s="54">
        <f>IFERROR(__xludf.DUMMYFUNCTION("""COMPUTED_VALUE"""),2)</f>
        <v>2</v>
      </c>
      <c r="B3" s="11" t="s">
        <v>13</v>
      </c>
      <c r="C3" s="12" t="b">
        <v>1</v>
      </c>
      <c r="D3" s="12" t="b">
        <v>1</v>
      </c>
      <c r="E3" s="12" t="b">
        <v>1</v>
      </c>
      <c r="F3" s="7">
        <v>8</v>
      </c>
      <c r="G3" s="7">
        <v>11</v>
      </c>
      <c r="H3" s="55" t="str">
        <f t="shared" si="0"/>
        <v>Completado</v>
      </c>
      <c r="I3" s="7" t="s">
        <v>14</v>
      </c>
      <c r="J3" s="29">
        <v>45961</v>
      </c>
      <c r="K3" s="56">
        <v>45964</v>
      </c>
    </row>
    <row r="4" ht="22.5" customHeight="1" spans="1:13">
      <c r="A4" s="54">
        <f>IFERROR(__xludf.DUMMYFUNCTION("""COMPUTED_VALUE"""),3)</f>
        <v>3</v>
      </c>
      <c r="B4" s="11" t="s">
        <v>15</v>
      </c>
      <c r="C4" s="12" t="b">
        <v>1</v>
      </c>
      <c r="D4" s="12" t="b">
        <v>1</v>
      </c>
      <c r="E4" s="12" t="b">
        <v>1</v>
      </c>
      <c r="F4" s="7">
        <v>7</v>
      </c>
      <c r="G4" s="7">
        <v>15</v>
      </c>
      <c r="H4" s="55" t="str">
        <f t="shared" si="0"/>
        <v>Completado</v>
      </c>
      <c r="I4" s="7" t="s">
        <v>16</v>
      </c>
      <c r="J4" s="29">
        <v>45955</v>
      </c>
      <c r="K4" s="56">
        <v>45956</v>
      </c>
    </row>
    <row r="5" ht="22.5" customHeight="1" spans="1:13">
      <c r="A5" s="54">
        <f>IFERROR(__xludf.DUMMYFUNCTION("""COMPUTED_VALUE"""),4)</f>
        <v>4</v>
      </c>
      <c r="B5" s="11" t="s">
        <v>17</v>
      </c>
      <c r="C5" s="12" t="b">
        <v>1</v>
      </c>
      <c r="D5" s="12" t="b">
        <v>1</v>
      </c>
      <c r="E5" s="12" t="b">
        <v>1</v>
      </c>
      <c r="F5" s="7">
        <v>5</v>
      </c>
      <c r="G5" s="7">
        <v>7</v>
      </c>
      <c r="H5" s="55" t="str">
        <f t="shared" si="0"/>
        <v>Completado</v>
      </c>
      <c r="I5" s="7" t="s">
        <v>14</v>
      </c>
      <c r="J5" s="29">
        <v>45958</v>
      </c>
      <c r="K5" s="56"/>
    </row>
    <row r="6" ht="22.5" customHeight="1" spans="1:13">
      <c r="A6" s="54">
        <f>IFERROR(__xludf.DUMMYFUNCTION("""COMPUTED_VALUE"""),5)</f>
        <v>5</v>
      </c>
      <c r="B6" s="11" t="s">
        <v>18</v>
      </c>
      <c r="C6" s="12" t="b">
        <v>1</v>
      </c>
      <c r="D6" s="12" t="b">
        <v>1</v>
      </c>
      <c r="E6" s="12" t="b">
        <v>1</v>
      </c>
      <c r="F6" s="7">
        <v>3</v>
      </c>
      <c r="G6" s="7">
        <v>7</v>
      </c>
      <c r="H6" s="55" t="str">
        <f t="shared" si="0"/>
        <v>Completado</v>
      </c>
      <c r="I6" s="7" t="s">
        <v>14</v>
      </c>
      <c r="J6" s="29">
        <v>45965</v>
      </c>
      <c r="K6" s="56">
        <v>45966</v>
      </c>
    </row>
    <row r="7" ht="22.5" customHeight="1" spans="1:13">
      <c r="A7" s="54">
        <f>IFERROR(__xludf.DUMMYFUNCTION("""COMPUTED_VALUE"""),6)</f>
        <v>6</v>
      </c>
      <c r="B7" s="11" t="s">
        <v>19</v>
      </c>
      <c r="C7" s="38" t="b">
        <v>1</v>
      </c>
      <c r="D7" s="12" t="b">
        <v>1</v>
      </c>
      <c r="E7" s="12" t="b">
        <v>1</v>
      </c>
      <c r="F7" s="7">
        <v>5</v>
      </c>
      <c r="G7" s="7">
        <v>9</v>
      </c>
      <c r="H7" s="55" t="str">
        <f t="shared" si="0"/>
        <v>Completado</v>
      </c>
      <c r="I7" s="7" t="s">
        <v>20</v>
      </c>
      <c r="J7" s="29">
        <v>45962</v>
      </c>
      <c r="K7" s="56"/>
      <c r="M7" s="21" t="s">
        <v>21</v>
      </c>
    </row>
    <row r="8" ht="22.5" customHeight="1" spans="1:13">
      <c r="A8" s="54">
        <f>IFERROR(__xludf.DUMMYFUNCTION("""COMPUTED_VALUE"""),7)</f>
        <v>7</v>
      </c>
      <c r="B8" s="11" t="s">
        <v>22</v>
      </c>
      <c r="C8" s="12" t="b">
        <v>1</v>
      </c>
      <c r="D8" s="12" t="b">
        <v>1</v>
      </c>
      <c r="E8" s="12" t="b">
        <v>1</v>
      </c>
      <c r="F8" s="7">
        <v>3</v>
      </c>
      <c r="G8" s="7">
        <v>5</v>
      </c>
      <c r="H8" s="55" t="str">
        <f t="shared" si="0"/>
        <v>Completado</v>
      </c>
      <c r="I8" s="7" t="s">
        <v>20</v>
      </c>
      <c r="J8" s="29">
        <v>45957</v>
      </c>
      <c r="K8" s="56">
        <v>45958</v>
      </c>
    </row>
    <row r="9" ht="22.5" customHeight="1" spans="1:13">
      <c r="A9" s="54">
        <f>IFERROR(__xludf.DUMMYFUNCTION("""COMPUTED_VALUE"""),8)</f>
        <v>8</v>
      </c>
      <c r="B9" s="11" t="s">
        <v>23</v>
      </c>
      <c r="C9" s="12" t="b">
        <v>1</v>
      </c>
      <c r="D9" s="12" t="b">
        <v>1</v>
      </c>
      <c r="E9" s="12" t="b">
        <v>1</v>
      </c>
      <c r="F9" s="7">
        <v>6</v>
      </c>
      <c r="G9" s="7">
        <v>10</v>
      </c>
      <c r="H9" s="55" t="str">
        <f t="shared" si="0"/>
        <v>Completado</v>
      </c>
      <c r="I9" s="7" t="s">
        <v>24</v>
      </c>
      <c r="J9" s="29">
        <v>45957</v>
      </c>
      <c r="K9" s="56">
        <v>45958</v>
      </c>
    </row>
    <row r="10" ht="22.5" customHeight="1" spans="1:13">
      <c r="A10" s="54">
        <f>IFERROR(__xludf.DUMMYFUNCTION("""COMPUTED_VALUE"""),9)</f>
        <v>9</v>
      </c>
      <c r="B10" s="11" t="s">
        <v>25</v>
      </c>
      <c r="C10" s="12" t="b">
        <v>1</v>
      </c>
      <c r="D10" s="12" t="b">
        <v>1</v>
      </c>
      <c r="E10" s="12" t="b">
        <v>1</v>
      </c>
      <c r="F10" s="7">
        <v>4</v>
      </c>
      <c r="G10" s="7">
        <v>1</v>
      </c>
      <c r="H10" s="55" t="str">
        <f t="shared" si="0"/>
        <v>Completado</v>
      </c>
      <c r="I10" s="7" t="s">
        <v>26</v>
      </c>
      <c r="J10" s="29">
        <v>45957</v>
      </c>
      <c r="K10" s="56">
        <v>45957</v>
      </c>
    </row>
    <row r="11" ht="22.5" customHeight="1" spans="1:13">
      <c r="A11" s="54">
        <f>IFERROR(__xludf.DUMMYFUNCTION("""COMPUTED_VALUE"""),10)</f>
        <v>10</v>
      </c>
      <c r="B11" s="11" t="s">
        <v>27</v>
      </c>
      <c r="C11" s="12" t="b">
        <v>1</v>
      </c>
      <c r="D11" s="12" t="b">
        <v>1</v>
      </c>
      <c r="E11" s="12" t="b">
        <v>1</v>
      </c>
      <c r="F11" s="7">
        <v>4</v>
      </c>
      <c r="G11" s="7">
        <v>4</v>
      </c>
      <c r="H11" s="55" t="str">
        <f t="shared" si="0"/>
        <v>Completado</v>
      </c>
      <c r="I11" s="7" t="s">
        <v>28</v>
      </c>
      <c r="J11" s="29">
        <v>45958</v>
      </c>
      <c r="K11" s="56">
        <v>45960</v>
      </c>
    </row>
    <row r="12" ht="22.5" customHeight="1" spans="1:13">
      <c r="A12" s="57">
        <f>IFERROR(__xludf.DUMMYFUNCTION("""COMPUTED_VALUE"""),11)</f>
        <v>11</v>
      </c>
      <c r="B12" s="11" t="s">
        <v>29</v>
      </c>
      <c r="C12" s="12" t="b">
        <v>1</v>
      </c>
      <c r="D12" s="12" t="b">
        <v>1</v>
      </c>
      <c r="E12" s="12" t="b">
        <v>1</v>
      </c>
      <c r="F12" s="7">
        <v>3</v>
      </c>
      <c r="G12" s="7">
        <v>4.1</v>
      </c>
      <c r="H12" s="55" t="str">
        <f t="shared" si="0"/>
        <v>Completado</v>
      </c>
      <c r="I12" s="7" t="s">
        <v>26</v>
      </c>
      <c r="J12" s="29">
        <v>45964</v>
      </c>
      <c r="K12" s="56">
        <v>45965</v>
      </c>
    </row>
    <row r="13" ht="22.5" customHeight="1" spans="1:13">
      <c r="A13" s="57">
        <f>IFERROR(__xludf.DUMMYFUNCTION("""COMPUTED_VALUE"""),12)</f>
        <v>12</v>
      </c>
      <c r="B13" s="11" t="s">
        <v>30</v>
      </c>
      <c r="C13" s="12" t="b">
        <v>1</v>
      </c>
      <c r="D13" s="12" t="b">
        <v>1</v>
      </c>
      <c r="E13" s="12" t="b">
        <v>1</v>
      </c>
      <c r="F13" s="7">
        <v>2</v>
      </c>
      <c r="G13" s="7">
        <v>3</v>
      </c>
      <c r="H13" s="55" t="str">
        <f t="shared" si="0"/>
        <v>Completado</v>
      </c>
      <c r="I13" s="7" t="s">
        <v>31</v>
      </c>
      <c r="J13" s="29">
        <v>45955</v>
      </c>
      <c r="K13" s="56">
        <v>45955</v>
      </c>
    </row>
    <row r="14" ht="22.5" customHeight="1" spans="1:13">
      <c r="A14" s="57">
        <f>IFERROR(__xludf.DUMMYFUNCTION("""COMPUTED_VALUE"""),13)</f>
        <v>13</v>
      </c>
      <c r="B14" s="11" t="s">
        <v>32</v>
      </c>
      <c r="C14" s="12" t="b">
        <v>1</v>
      </c>
      <c r="D14" s="12" t="b">
        <v>1</v>
      </c>
      <c r="E14" s="12" t="b">
        <v>1</v>
      </c>
      <c r="F14" s="7">
        <v>8</v>
      </c>
      <c r="G14" s="7">
        <v>9</v>
      </c>
      <c r="H14" s="55" t="str">
        <f t="shared" si="0"/>
        <v>Completado</v>
      </c>
      <c r="I14" s="7" t="s">
        <v>28</v>
      </c>
      <c r="J14" s="29">
        <v>45956</v>
      </c>
      <c r="K14" s="56">
        <v>45959</v>
      </c>
    </row>
    <row r="15" ht="22.5" customHeight="1" spans="1:13">
      <c r="A15" s="57">
        <f>IFERROR(__xludf.DUMMYFUNCTION("""COMPUTED_VALUE"""),801)</f>
        <v>801</v>
      </c>
      <c r="B15" s="11" t="s">
        <v>33</v>
      </c>
      <c r="C15" s="12" t="b">
        <v>1</v>
      </c>
      <c r="D15" s="12" t="b">
        <v>1</v>
      </c>
      <c r="E15" s="12" t="b">
        <v>1</v>
      </c>
      <c r="F15" s="7">
        <v>0</v>
      </c>
      <c r="G15" s="7">
        <v>4</v>
      </c>
      <c r="H15" s="55" t="str">
        <f t="shared" si="0"/>
        <v>Completado</v>
      </c>
      <c r="I15" s="7" t="s">
        <v>24</v>
      </c>
      <c r="J15" s="29"/>
      <c r="K15" s="56"/>
    </row>
    <row r="16" ht="22.5" customHeight="1" spans="1:13">
      <c r="A16" s="57">
        <f>IFERROR(__xludf.DUMMYFUNCTION("""COMPUTED_VALUE"""),802)</f>
        <v>802</v>
      </c>
      <c r="B16" s="11" t="s">
        <v>34</v>
      </c>
      <c r="C16" s="12" t="b">
        <v>1</v>
      </c>
      <c r="D16" s="12" t="b">
        <v>1</v>
      </c>
      <c r="E16" s="12" t="b">
        <v>0</v>
      </c>
      <c r="F16" s="7">
        <v>0</v>
      </c>
      <c r="G16" s="7">
        <v>0</v>
      </c>
      <c r="H16" s="55" t="str">
        <f t="shared" si="0"/>
        <v>En curso</v>
      </c>
      <c r="I16" s="7" t="s">
        <v>35</v>
      </c>
      <c r="J16" s="29"/>
      <c r="K16" s="56"/>
    </row>
    <row r="17" ht="22.5" customHeight="1" spans="1:11">
      <c r="A17" s="58">
        <f>IFERROR(__xludf.DUMMYFUNCTION("""COMPUTED_VALUE"""),803)</f>
        <v>803</v>
      </c>
      <c r="B17" s="59" t="s">
        <v>36</v>
      </c>
      <c r="C17" s="60" t="b">
        <v>1</v>
      </c>
      <c r="D17" s="60" t="b">
        <v>0</v>
      </c>
      <c r="E17" s="60" t="b">
        <v>0</v>
      </c>
      <c r="F17" s="61">
        <v>0</v>
      </c>
      <c r="G17" s="61">
        <v>0</v>
      </c>
      <c r="H17" s="62" t="str">
        <f t="shared" si="0"/>
        <v>En curso</v>
      </c>
      <c r="I17" s="61"/>
      <c r="J17" s="63"/>
      <c r="K17" s="64"/>
    </row>
    <row r="18" ht="22.5" customHeight="1" spans="1:11">
      <c r="A18" s="33">
        <f>IFERROR(__xludf.DUMMYFUNCTION("""COMPUTED_VALUE"""),804)</f>
        <v>804</v>
      </c>
      <c r="B18" s="11" t="s">
        <v>37</v>
      </c>
      <c r="C18" s="12" t="b">
        <v>1</v>
      </c>
      <c r="D18" s="12" t="b">
        <v>1</v>
      </c>
      <c r="E18" s="12" t="b">
        <v>0</v>
      </c>
      <c r="F18" s="7">
        <v>0</v>
      </c>
      <c r="G18" s="7">
        <v>1</v>
      </c>
      <c r="H18" s="55" t="str">
        <f t="shared" si="0"/>
        <v>En curso</v>
      </c>
      <c r="I18" s="7" t="s">
        <v>38</v>
      </c>
      <c r="J18" s="29">
        <v>45964</v>
      </c>
      <c r="K18" s="29">
        <v>45964</v>
      </c>
    </row>
    <row r="19" ht="22.5" customHeight="1" spans="1:11">
      <c r="A19" s="33">
        <f>IFERROR(__xludf.DUMMYFUNCTION("""COMPUTED_VALUE"""),805)</f>
        <v>805</v>
      </c>
      <c r="B19" s="11" t="s">
        <v>39</v>
      </c>
      <c r="C19" s="12" t="b">
        <v>1</v>
      </c>
      <c r="D19" s="12" t="b">
        <v>1</v>
      </c>
      <c r="E19" s="12" t="b">
        <v>1</v>
      </c>
      <c r="F19" s="7">
        <v>0</v>
      </c>
      <c r="G19" s="7">
        <v>1</v>
      </c>
      <c r="H19" s="55" t="str">
        <f t="shared" si="0"/>
        <v>Completado</v>
      </c>
      <c r="I19" s="7"/>
      <c r="J19" s="29"/>
      <c r="K19" s="29"/>
    </row>
    <row r="20" ht="22.5" customHeight="1" spans="1:11">
      <c r="A20" s="33">
        <f>IFERROR(__xludf.DUMMYFUNCTION("""COMPUTED_VALUE"""),806)</f>
        <v>806</v>
      </c>
      <c r="B20" s="11" t="s">
        <v>40</v>
      </c>
      <c r="C20" s="12" t="b">
        <v>1</v>
      </c>
      <c r="D20" s="12" t="b">
        <v>0</v>
      </c>
      <c r="E20" s="12" t="b">
        <v>0</v>
      </c>
      <c r="F20" s="7">
        <v>0</v>
      </c>
      <c r="G20" s="7">
        <v>0</v>
      </c>
      <c r="H20" s="55" t="str">
        <f t="shared" si="0"/>
        <v>En curso</v>
      </c>
      <c r="I20" s="7" t="s">
        <v>41</v>
      </c>
      <c r="J20" s="29">
        <v>45963</v>
      </c>
      <c r="K20" s="29">
        <v>45964</v>
      </c>
    </row>
    <row r="21" ht="22.5" customHeight="1" spans="1:11">
      <c r="A21" s="33">
        <f>IFERROR(__xludf.DUMMYFUNCTION("""COMPUTED_VALUE"""),807)</f>
        <v>807</v>
      </c>
      <c r="B21" s="11" t="s">
        <v>42</v>
      </c>
      <c r="C21" s="12" t="b">
        <v>1</v>
      </c>
      <c r="D21" s="12" t="b">
        <v>1</v>
      </c>
      <c r="E21" s="12" t="b">
        <v>0</v>
      </c>
      <c r="F21" s="7">
        <v>0</v>
      </c>
      <c r="G21" s="7">
        <v>0</v>
      </c>
      <c r="H21" s="55" t="str">
        <f t="shared" si="0"/>
        <v>En curso</v>
      </c>
      <c r="I21" s="7" t="s">
        <v>43</v>
      </c>
      <c r="J21" s="29">
        <v>45964</v>
      </c>
      <c r="K21" s="29">
        <v>45964</v>
      </c>
    </row>
    <row r="22" ht="22.5" customHeight="1" spans="1:11">
      <c r="A22" s="33">
        <f>IFERROR(__xludf.DUMMYFUNCTION("""COMPUTED_VALUE"""),808)</f>
        <v>808</v>
      </c>
      <c r="B22" s="11" t="s">
        <v>44</v>
      </c>
      <c r="C22" s="12" t="b">
        <v>1</v>
      </c>
      <c r="D22" s="12" t="b">
        <v>1</v>
      </c>
      <c r="E22" s="12" t="b">
        <v>1</v>
      </c>
      <c r="F22" s="7">
        <v>0</v>
      </c>
      <c r="G22" s="7">
        <v>0</v>
      </c>
      <c r="H22" s="55" t="str">
        <f t="shared" si="0"/>
        <v>Completado</v>
      </c>
      <c r="I22" s="7" t="s">
        <v>14</v>
      </c>
      <c r="J22" s="29"/>
      <c r="K22" s="29"/>
    </row>
    <row r="23" ht="22.5" customHeight="1" spans="1:11">
      <c r="A23" s="33">
        <f>IFERROR(__xludf.DUMMYFUNCTION("""COMPUTED_VALUE"""),809)</f>
        <v>809</v>
      </c>
      <c r="B23" s="11" t="s">
        <v>45</v>
      </c>
      <c r="C23" s="12" t="b">
        <v>1</v>
      </c>
      <c r="D23" s="12" t="b">
        <v>0</v>
      </c>
      <c r="E23" s="12" t="b">
        <v>0</v>
      </c>
      <c r="F23" s="7">
        <v>0</v>
      </c>
      <c r="G23" s="7">
        <v>0</v>
      </c>
      <c r="H23" s="55" t="str">
        <f t="shared" si="0"/>
        <v>En curso</v>
      </c>
      <c r="I23" s="7" t="s">
        <v>24</v>
      </c>
      <c r="J23" s="29">
        <v>45962</v>
      </c>
      <c r="K23" s="29">
        <v>45962</v>
      </c>
    </row>
  </sheetData>
  <customSheetViews>
    <customSheetView guid="{C64032E5-7B85-4636-BF01-0A008F820A1E}" filter="1" showAutoFilter="1">
      <autoFilter ref="A1:K23"/>
    </customSheetView>
    <customSheetView guid="{27160DC0-7223-4CE7-96B4-963772475115}" filter="1" showAutoFilter="1">
      <autoFilter ref="A1:K23"/>
    </customSheetView>
    <customSheetView guid="{369FA81C-3901-404F-9755-45EA74BF26E3}" filter="1" showAutoFilter="1">
      <autoFilter ref="A1:K23"/>
    </customSheetView>
  </customSheetViews>
  <conditionalFormatting sqref="A1:A23">
    <cfRule type="cellIs" dxfId="11" priority="4" operator="lessThan">
      <formula>800</formula>
    </cfRule>
    <cfRule type="cellIs" dxfId="12" priority="5" operator="between">
      <formula>800</formula>
      <formula>900</formula>
    </cfRule>
    <cfRule type="cellIs" dxfId="13" priority="6" operator="greaterThan">
      <formula>800</formula>
    </cfRule>
  </conditionalFormatting>
  <conditionalFormatting sqref="H2:H23">
    <cfRule type="cellIs" dxfId="14" priority="1" operator="equal">
      <formula>"Completado"</formula>
    </cfRule>
    <cfRule type="cellIs" dxfId="15" priority="2" operator="equal">
      <formula>"En curso"</formula>
    </cfRule>
    <cfRule type="cellIs" dxfId="16" priority="3" operator="equal">
      <formula>"Pendiente"</formula>
    </cfRule>
  </conditionalFormatting>
  <dataValidations count="4">
    <dataValidation allowBlank="1" sqref="B2:B23 H2:H23"/>
    <dataValidation type="list" allowBlank="1" sqref="I2:I23">
      <formula1>"Byron,Antonio,Felipe,Sophie,Kaiso,Pancho"</formula1>
    </dataValidation>
    <dataValidation type="custom" allowBlank="1" sqref="F2:G23">
      <formula1>AND(ISNUMBER(F2),(NOT(OR(NOT(ISERROR(DATEVALUE(F2))),AND(ISNUMBER(F2),LEFT(CELL("format",F2))="D")))))</formula1>
    </dataValidation>
    <dataValidation type="custom" allowBlank="1" sqref="J2:K23">
      <formula1>OR(NOT(ISERROR(DATEVALUE(J2))),AND(ISNUMBER(J2),LEFT(CELL("format",J2))="D"))</formula1>
    </dataValidation>
  </dataValidation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FF"/>
    <outlinePr summaryBelow="0" summaryRight="0"/>
  </sheetPr>
  <dimension ref="A1:H15"/>
  <sheetViews>
    <sheetView workbookViewId="0">
      <selection activeCell="B54" sqref="B54"/>
    </sheetView>
  </sheetViews>
  <sheetFormatPr defaultColWidth="11.2166666666667" defaultRowHeight="15.75" customHeight="1" outlineLevelCol="7"/>
  <cols>
    <col min="1" max="1" width="7.55833333333333" customWidth="1"/>
    <col min="2" max="2" width="19.8916666666667" customWidth="1"/>
    <col min="3" max="3" width="7.21666666666667" customWidth="1"/>
    <col min="4" max="4" width="63" customWidth="1"/>
    <col min="5" max="5" width="146.441666666667" customWidth="1"/>
    <col min="6" max="6" width="74.4416666666667" customWidth="1"/>
    <col min="7" max="7" width="66.2166666666667" customWidth="1"/>
    <col min="8" max="8" width="91.4416666666667" customWidth="1"/>
  </cols>
  <sheetData>
    <row r="1" customHeight="1" spans="1:8">
      <c r="A1" s="1" t="s">
        <v>46</v>
      </c>
      <c r="B1" s="1" t="s">
        <v>1</v>
      </c>
      <c r="C1" s="1" t="s">
        <v>5</v>
      </c>
      <c r="D1" s="1" t="s">
        <v>47</v>
      </c>
      <c r="E1" s="1" t="s">
        <v>48</v>
      </c>
      <c r="F1" s="1" t="s">
        <v>49</v>
      </c>
      <c r="G1" s="1" t="s">
        <v>50</v>
      </c>
      <c r="H1" s="2" t="s">
        <v>51</v>
      </c>
    </row>
    <row r="2" customHeight="1" spans="1:8">
      <c r="A2" s="37">
        <f t="shared" ref="A2:A13" si="0">ROW()-1</f>
        <v>1</v>
      </c>
      <c r="B2" s="39" t="s">
        <v>11</v>
      </c>
      <c r="C2" s="40">
        <v>6</v>
      </c>
      <c r="D2" s="39" t="s">
        <v>52</v>
      </c>
      <c r="E2" s="39" t="str">
        <f t="shared" ref="E2:E14" si="1">"1. "&amp;F2&amp;CHAR(10)&amp;"2. "&amp;G2&amp;CHAR(10)&amp;"3. "&amp;H2</f>
        <v>1. Since the psychiatrist is in the "Patient View", when you select a patient and access the "Diagnosis" section, you can then edit the existing diagnosis and save the changes.
2. Since the psychiatrist edits the diagnosis, they can then select and save a "Severity Level" associated with that diagnosis (e.g., Mild, Moderate, Severe).
3. Since an edit is made and the changes to the diagnosis or severity are saved, the system automatically records the date, time, the user who made the modification, and the previous value of the diagnosis in an immutable patient history.</v>
      </c>
      <c r="F2" s="41" t="s">
        <v>53</v>
      </c>
      <c r="G2" s="41" t="s">
        <v>54</v>
      </c>
      <c r="H2" s="41" t="s">
        <v>55</v>
      </c>
    </row>
    <row r="3" customHeight="1" spans="1:8">
      <c r="A3" s="37">
        <f t="shared" si="0"/>
        <v>2</v>
      </c>
      <c r="B3" s="39" t="s">
        <v>13</v>
      </c>
      <c r="C3" s="40">
        <v>8</v>
      </c>
      <c r="D3" s="39" t="s">
        <v>56</v>
      </c>
      <c r="E3" s="39" t="str">
        <f t="shared" si="1"/>
        <v>1. Since the psychiatrist is in the "Patient View", when he accesses the "Medications" section, he can clearly see the medication currently prescribed by the patient.
2. Since the psychiatrist accesses the "Medications" section, they can then add a new medication or modify an existing one, and the system saves and displays the new prescription as current.
3. Since the psychiatrist adds or modifies a prescription, the system automatically records the date, time, the user who performed the action, the previous medication, and the new medication in the patient's treatment history.</v>
      </c>
      <c r="F3" s="42" t="s">
        <v>57</v>
      </c>
      <c r="G3" s="42" t="s">
        <v>58</v>
      </c>
      <c r="H3" s="42" t="s">
        <v>59</v>
      </c>
    </row>
    <row r="4" customHeight="1" spans="1:8">
      <c r="A4" s="37">
        <f t="shared" si="0"/>
        <v>3</v>
      </c>
      <c r="B4" s="39" t="s">
        <v>15</v>
      </c>
      <c r="C4" s="40">
        <v>7</v>
      </c>
      <c r="D4" s="39" t="s">
        <v>60</v>
      </c>
      <c r="E4" s="39" t="str">
        <f t="shared" si="1"/>
        <v>1. Given an authenticated patient, when they access the "Security Plan View", they can then modify any of the plan fields and successfully save the changes.
2. Since the patient edits and saves their Safety Plan, the system automatically records the date, time, and an indicator that the plan was updated by the patient, maintaining a history of previous versions.
3. Given a patient who edits their safety plan, they can add an emergency number which can be used to call them by tapping the number in the plan view.</v>
      </c>
      <c r="F4" s="42" t="s">
        <v>61</v>
      </c>
      <c r="G4" s="42" t="s">
        <v>62</v>
      </c>
      <c r="H4" s="42" t="s">
        <v>63</v>
      </c>
    </row>
    <row r="5" customHeight="1" spans="1:8">
      <c r="A5" s="37">
        <f t="shared" si="0"/>
        <v>4</v>
      </c>
      <c r="B5" s="39" t="s">
        <v>17</v>
      </c>
      <c r="C5" s="40">
        <v>5</v>
      </c>
      <c r="D5" s="39" t="s">
        <v>64</v>
      </c>
      <c r="E5" s="39" t="str">
        <f t="shared" si="1"/>
        <v>1. Given a psychiatrist, when viewing a patient's safety plan, they can then select the "Export to PDF" option and the document is downloaded with the full content of the plan.
2. Since the psychiatrist exports the plan to PDF, the generated document maintains the readable formatting and design of the web view.
3. Since the PDF is generated, it includes information such as the patient's name, the date of the last plan update, and the export date.</v>
      </c>
      <c r="F5" s="42" t="s">
        <v>65</v>
      </c>
      <c r="G5" s="42" t="s">
        <v>66</v>
      </c>
      <c r="H5" s="42" t="s">
        <v>67</v>
      </c>
    </row>
    <row r="6" customHeight="1" spans="1:8">
      <c r="A6" s="37">
        <f t="shared" si="0"/>
        <v>5</v>
      </c>
      <c r="B6" s="39" t="s">
        <v>18</v>
      </c>
      <c r="C6" s="40">
        <v>3</v>
      </c>
      <c r="D6" s="39" t="s">
        <v>68</v>
      </c>
      <c r="E6" s="39" t="str">
        <f t="shared" si="1"/>
        <v>1. Since the patient has edited and saved their Safety Plan, when the psychiatrist accesses the "Patient View", a clear visual indicator (e.g., a "New" or "Updated" icon) is displayed next to the patient's name or their safety plan.
2. Given an updated safety plan notification, when the psychiatrist accesses the view, he can review what data has changed from the previous one.
3. Given an updated security plan, when the psychiatrist closes the view of the changes made, the visual cue will disappear.</v>
      </c>
      <c r="F6" s="42" t="s">
        <v>69</v>
      </c>
      <c r="G6" s="42" t="s">
        <v>70</v>
      </c>
      <c r="H6" s="42" t="s">
        <v>71</v>
      </c>
    </row>
    <row r="7" customHeight="1" spans="1:8">
      <c r="A7" s="37">
        <f t="shared" si="0"/>
        <v>6</v>
      </c>
      <c r="B7" s="39" t="s">
        <v>19</v>
      </c>
      <c r="C7" s="40">
        <v>5</v>
      </c>
      <c r="D7" s="39" t="s">
        <v>72</v>
      </c>
      <c r="E7" s="39" t="str">
        <f t="shared" si="1"/>
        <v>1. Since the user starts the application for the first time, when they log in, a sequence of no more than 4 screens is presented that explain the key functionalities of the app.
2. Since the user is in the onboarding process, they have the clear option to "Skip" or "Leave out" the process at any time.
3. Since the user has completed or skipped the onboarding process, when they log back in, the onboarding process is not displayed again.</v>
      </c>
      <c r="F7" s="42" t="s">
        <v>73</v>
      </c>
      <c r="G7" s="42" t="s">
        <v>74</v>
      </c>
      <c r="H7" s="42" t="s">
        <v>75</v>
      </c>
    </row>
    <row r="8" customHeight="1" spans="1:8">
      <c r="A8" s="37">
        <f t="shared" si="0"/>
        <v>7</v>
      </c>
      <c r="B8" s="39" t="s">
        <v>22</v>
      </c>
      <c r="C8" s="40">
        <v>3</v>
      </c>
      <c r="D8" s="39" t="s">
        <v>76</v>
      </c>
      <c r="E8" s="39" t="str">
        <f t="shared" si="1"/>
        <v>1. Given a patient in the questionnaires view, they can navigate to a view that contains a list of answered questionnaires.
2. Given a patient in the view of answered questionnaires, they can select one from the list and the responses of the selected questionnaire will be displayed.
3. Given a patient who has selected a questionnaire, they can export their responses to a PDF document.</v>
      </c>
      <c r="F8" s="42" t="s">
        <v>77</v>
      </c>
      <c r="G8" s="42" t="s">
        <v>78</v>
      </c>
      <c r="H8" s="42" t="s">
        <v>79</v>
      </c>
    </row>
    <row r="9" customHeight="1" spans="1:8">
      <c r="A9" s="37">
        <f t="shared" si="0"/>
        <v>8</v>
      </c>
      <c r="B9" s="39" t="s">
        <v>23</v>
      </c>
      <c r="C9" s="12">
        <v>6</v>
      </c>
      <c r="D9" s="39" t="s">
        <v>80</v>
      </c>
      <c r="E9" s="39" t="str">
        <f t="shared" si="1"/>
        <v>1. Given a psychiatrist, they can view a calendar in their psychiatrist details tab.
2. Given a psychiatrist, they can enter personal reminders into the calendar.
3. Given a psychiatrist, they can edit and/or delete your previously entered calendar reminders.</v>
      </c>
      <c r="F9" s="42" t="s">
        <v>81</v>
      </c>
      <c r="G9" s="42" t="s">
        <v>82</v>
      </c>
      <c r="H9" s="42" t="s">
        <v>83</v>
      </c>
    </row>
    <row r="10" customHeight="1" spans="1:8">
      <c r="A10" s="37">
        <f t="shared" si="0"/>
        <v>9</v>
      </c>
      <c r="B10" s="37" t="s">
        <v>25</v>
      </c>
      <c r="C10" s="40">
        <v>4</v>
      </c>
      <c r="D10" s="37" t="s">
        <v>84</v>
      </c>
      <c r="E10" s="39" t="str">
        <f t="shared" si="1"/>
        <v>1. Given a psychiatrist in any view, you may then see a bell icon or similar in the top navigation bar that displays a numerical counter with the total number of active, unreviewed alerts.
2. Since there are new alerts or deviations, when the psychiatrist clicks on the notifications icon, a summary list of patients and the type of alert is displayed (e.g., "Patient X - Critical Questionnaire").
3. Since the psychiatrist clicks on an item in the drop-down list, he is then automatically redirected to the patient's record with the active alert (HU 11) and the counter is updated.</v>
      </c>
      <c r="F10" s="42" t="s">
        <v>85</v>
      </c>
      <c r="G10" s="42" t="s">
        <v>86</v>
      </c>
      <c r="H10" s="42" t="s">
        <v>87</v>
      </c>
    </row>
    <row r="11" customHeight="1" spans="1:8">
      <c r="A11" s="37">
        <f t="shared" si="0"/>
        <v>10</v>
      </c>
      <c r="B11" s="37" t="s">
        <v>88</v>
      </c>
      <c r="C11" s="40">
        <v>4</v>
      </c>
      <c r="D11" s="37" t="s">
        <v>89</v>
      </c>
      <c r="E11" s="39" t="str">
        <f t="shared" si="1"/>
        <v>1. Given a psychiatrist who accesses a patient's record with an active alert, then a banner of a prominent color (e.g., red or orange) is displayed at the top of the record view.
2. Given the alert banner, it then contains a concise message summarizing the reason for the alert (e.g., "Depression score at Severe level") and a direct link to the source of the data (e.g., the completed questionnaire).
3. Since the psychiatrist has reviewed and marked the alert as "Resolved" or "Reviewed" in the patient's record, the alert banner is hidden and the notification counter (HU 10) is reduced.</v>
      </c>
      <c r="F11" s="42" t="s">
        <v>90</v>
      </c>
      <c r="G11" s="42" t="s">
        <v>91</v>
      </c>
      <c r="H11" s="42" t="s">
        <v>92</v>
      </c>
    </row>
    <row r="12" customHeight="1" spans="1:8">
      <c r="A12" s="37">
        <f t="shared" si="0"/>
        <v>11</v>
      </c>
      <c r="B12" s="37" t="s">
        <v>29</v>
      </c>
      <c r="C12" s="40">
        <v>3</v>
      </c>
      <c r="D12" s="37" t="s">
        <v>93</v>
      </c>
      <c r="E12" s="39" t="str">
        <f t="shared" si="1"/>
        <v>1. Given a patient who has completed a new questionnaire or emotional diary, when the psychiatrist accesses the "Patient View", then a small visual indicator (e.g., a blue dot) appears next to the patient's name in the list.
2. Since the psychiatrist clicks on the patient with the visual cue, and accesses the section where the new content is located (e.g., Questionnaire History), then the indicator disappears when the view loads.
3. Since the psychiatrist navigates to the patient's file, the visual cue should remain visible in the patient list until they have actually reviewed the "Emotional Diary" or "Questionnaires" section.</v>
      </c>
      <c r="F12" s="42" t="s">
        <v>94</v>
      </c>
      <c r="G12" s="42" t="s">
        <v>95</v>
      </c>
      <c r="H12" s="42" t="s">
        <v>96</v>
      </c>
    </row>
    <row r="13" customHeight="1" spans="1:8">
      <c r="A13" s="37">
        <f t="shared" si="0"/>
        <v>12</v>
      </c>
      <c r="B13" s="37" t="s">
        <v>30</v>
      </c>
      <c r="C13" s="40">
        <v>2</v>
      </c>
      <c r="D13" s="37" t="s">
        <v>97</v>
      </c>
      <c r="E13" s="39" t="str">
        <f t="shared" si="1"/>
        <v>1. Given a user, when they access the "Application Settings" section, they will find a clear option labeled "Show Daily Tips".
2. Since the user disables the "Show Daily Tips" option and saves the settings, the tips stop appearing on the home screen or in the designated section.
3. Since the user has disabled the feature, then by re-enabling the option in the settings, the daily tips will be displayed again in the application.</v>
      </c>
      <c r="F13" s="42" t="s">
        <v>98</v>
      </c>
      <c r="G13" s="42" t="s">
        <v>99</v>
      </c>
      <c r="H13" s="42" t="s">
        <v>100</v>
      </c>
    </row>
    <row r="14" customHeight="1" spans="1:8">
      <c r="A14" s="37">
        <v>13</v>
      </c>
      <c r="B14" s="39" t="s">
        <v>32</v>
      </c>
      <c r="C14" s="40">
        <v>8</v>
      </c>
      <c r="D14" s="39" t="s">
        <v>101</v>
      </c>
      <c r="E14" s="39" t="str">
        <f t="shared" si="1"/>
        <v>1. Given a psychiatrist, when he accesses it, he will be able to view your personal information along with relevant content.
2. Given a psychiatrist, that he/she may be able to edit his/her personal information in the user view.
3. Given a psychiatrist, they can choose what to view in their details, their personal information, their calendar with their reminders, among other things.</v>
      </c>
      <c r="F14" s="42" t="s">
        <v>102</v>
      </c>
      <c r="G14" s="42" t="s">
        <v>103</v>
      </c>
      <c r="H14" s="42" t="s">
        <v>104</v>
      </c>
    </row>
    <row r="15" customHeight="1" spans="1:8">
      <c r="A15" s="43"/>
      <c r="B15" s="43"/>
      <c r="C15" s="44"/>
      <c r="D15" s="43"/>
      <c r="E15" s="43"/>
      <c r="F15" s="21"/>
      <c r="G15" s="21"/>
      <c r="H15" s="21"/>
    </row>
  </sheetData>
  <dataValidations count="2">
    <dataValidation allowBlank="1" sqref="B2:B14 D2:H14"/>
    <dataValidation type="custom" allowBlank="1" sqref="C2:C14">
      <formula1>AND(ISNUMBER(C2),(NOT(OR(NOT(ISERROR(DATEVALUE(C2))),AND(ISNUMBER(C2),LEFT(CELL("format",C2))="D")))))</formula1>
    </dataValidation>
  </dataValidations>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00"/>
    <outlinePr summaryBelow="0" summaryRight="0"/>
  </sheetPr>
  <dimension ref="A1:N10"/>
  <sheetViews>
    <sheetView workbookViewId="0">
      <pane ySplit="1" topLeftCell="A2" activePane="bottomLeft" state="frozen"/>
      <selection/>
      <selection pane="bottomLeft" activeCell="B3" sqref="B3"/>
    </sheetView>
  </sheetViews>
  <sheetFormatPr defaultColWidth="11.2166666666667" defaultRowHeight="15.75" customHeight="1"/>
  <cols>
    <col min="1" max="2" width="20.1083333333333" customWidth="1"/>
    <col min="3" max="3" width="89.4416666666667" customWidth="1"/>
    <col min="4" max="4" width="10.6666666666667" customWidth="1"/>
    <col min="5" max="5" width="1.78333333333333" customWidth="1"/>
    <col min="6" max="6" width="1.66666666666667" customWidth="1"/>
    <col min="7" max="7" width="1.89166666666667" customWidth="1"/>
    <col min="12" max="12" width="12.7833333333333" customWidth="1"/>
  </cols>
  <sheetData>
    <row r="1" ht="22.5" customHeight="1" spans="1:14">
      <c r="A1" s="1" t="s">
        <v>105</v>
      </c>
      <c r="B1" s="1" t="s">
        <v>1</v>
      </c>
      <c r="C1" s="1" t="s">
        <v>106</v>
      </c>
      <c r="D1" s="2" t="s">
        <v>107</v>
      </c>
    </row>
    <row r="2" ht="22.5" customHeight="1" spans="1:14">
      <c r="A2" s="36">
        <f t="shared" ref="A2:A10" si="0">800+ROW()-1</f>
        <v>801</v>
      </c>
      <c r="B2" s="37" t="s">
        <v>108</v>
      </c>
      <c r="C2" s="37" t="s">
        <v>109</v>
      </c>
      <c r="D2" s="38" t="b">
        <v>0</v>
      </c>
    </row>
    <row r="3" ht="22.5" customHeight="1" spans="1:14">
      <c r="A3" s="37">
        <f t="shared" si="0"/>
        <v>802</v>
      </c>
      <c r="B3" s="37" t="s">
        <v>110</v>
      </c>
      <c r="C3" s="37" t="s">
        <v>111</v>
      </c>
      <c r="D3" s="38" t="b">
        <v>0</v>
      </c>
      <c r="F3" s="21"/>
      <c r="G3" s="21"/>
      <c r="H3" s="21"/>
      <c r="I3" s="21"/>
      <c r="J3" s="21"/>
      <c r="K3" s="21"/>
      <c r="L3" s="21"/>
      <c r="M3" s="21"/>
      <c r="N3" s="21"/>
    </row>
    <row r="4" ht="22.5" customHeight="1" spans="1:14">
      <c r="A4" s="36">
        <f t="shared" si="0"/>
        <v>803</v>
      </c>
      <c r="B4" s="37" t="s">
        <v>112</v>
      </c>
      <c r="C4" s="37" t="s">
        <v>113</v>
      </c>
      <c r="D4" s="38" t="b">
        <v>0</v>
      </c>
    </row>
    <row r="5" ht="22.5" customHeight="1" spans="1:14">
      <c r="A5" s="37">
        <f t="shared" si="0"/>
        <v>804</v>
      </c>
      <c r="B5" s="37" t="s">
        <v>114</v>
      </c>
      <c r="C5" s="37" t="s">
        <v>115</v>
      </c>
      <c r="D5" s="38" t="b">
        <v>0</v>
      </c>
    </row>
    <row r="6" ht="22.5" customHeight="1" spans="1:14">
      <c r="A6" s="37">
        <f t="shared" si="0"/>
        <v>805</v>
      </c>
      <c r="B6" s="37" t="s">
        <v>116</v>
      </c>
      <c r="C6" s="37" t="s">
        <v>117</v>
      </c>
      <c r="D6" s="38" t="b">
        <v>0</v>
      </c>
    </row>
    <row r="7" ht="22.5" customHeight="1" spans="1:14">
      <c r="A7" s="37">
        <f t="shared" si="0"/>
        <v>806</v>
      </c>
      <c r="B7" s="37" t="s">
        <v>118</v>
      </c>
      <c r="C7" s="37" t="s">
        <v>119</v>
      </c>
      <c r="D7" s="38" t="b">
        <v>0</v>
      </c>
    </row>
    <row r="8" ht="22.5" customHeight="1" spans="1:14">
      <c r="A8" s="37">
        <f t="shared" si="0"/>
        <v>807</v>
      </c>
      <c r="B8" s="37" t="s">
        <v>120</v>
      </c>
      <c r="C8" s="37" t="s">
        <v>121</v>
      </c>
      <c r="D8" s="38" t="b">
        <v>0</v>
      </c>
    </row>
    <row r="9" ht="22.5" customHeight="1" spans="1:14">
      <c r="A9" s="37">
        <f t="shared" si="0"/>
        <v>808</v>
      </c>
      <c r="B9" s="37" t="s">
        <v>122</v>
      </c>
      <c r="C9" s="37" t="s">
        <v>123</v>
      </c>
      <c r="D9" s="38" t="b">
        <v>0</v>
      </c>
    </row>
    <row r="10" ht="22.5" customHeight="1" spans="1:14">
      <c r="A10" s="37">
        <f t="shared" si="0"/>
        <v>809</v>
      </c>
      <c r="B10" s="37" t="s">
        <v>124</v>
      </c>
      <c r="C10" s="37" t="s">
        <v>125</v>
      </c>
      <c r="D10" s="38" t="b">
        <v>0</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00FF"/>
    <outlinePr summaryBelow="0" summaryRight="0"/>
  </sheetPr>
  <dimension ref="A1:G1020"/>
  <sheetViews>
    <sheetView workbookViewId="0">
      <pane ySplit="1" topLeftCell="A2" activePane="bottomLeft" state="frozen"/>
      <selection/>
      <selection pane="bottomLeft" activeCell="B3" sqref="B3"/>
    </sheetView>
  </sheetViews>
  <sheetFormatPr defaultColWidth="11.2166666666667" defaultRowHeight="15.75" customHeight="1" outlineLevelCol="6"/>
  <cols>
    <col min="1" max="1" width="19.8916666666667" customWidth="1"/>
    <col min="2" max="2" width="20.1083333333333" customWidth="1"/>
    <col min="3" max="3" width="16.6666666666667" customWidth="1"/>
    <col min="4" max="4" width="18.4416666666667" customWidth="1"/>
    <col min="5" max="5" width="109" customWidth="1"/>
  </cols>
  <sheetData>
    <row r="1" ht="22.5" customHeight="1" spans="1:5">
      <c r="A1" s="1" t="s">
        <v>0</v>
      </c>
      <c r="B1" s="1" t="s">
        <v>126</v>
      </c>
      <c r="C1" s="1" t="s">
        <v>127</v>
      </c>
      <c r="D1" s="1" t="s">
        <v>128</v>
      </c>
      <c r="E1" s="2" t="s">
        <v>129</v>
      </c>
    </row>
    <row r="2" ht="22.5" customHeight="1" spans="1:5">
      <c r="A2" s="33">
        <v>12</v>
      </c>
      <c r="B2" s="7" t="s">
        <v>31</v>
      </c>
      <c r="C2" s="29">
        <v>45955</v>
      </c>
      <c r="D2" s="7">
        <v>3</v>
      </c>
      <c r="E2" s="7" t="s">
        <v>130</v>
      </c>
    </row>
    <row r="3" ht="22.5" customHeight="1" spans="1:5">
      <c r="A3" s="33">
        <v>3</v>
      </c>
      <c r="B3" s="7" t="s">
        <v>31</v>
      </c>
      <c r="C3" s="29">
        <v>45955</v>
      </c>
      <c r="D3" s="7">
        <v>4</v>
      </c>
      <c r="E3" s="7" t="s">
        <v>131</v>
      </c>
    </row>
    <row r="4" ht="22.5" customHeight="1" spans="1:5">
      <c r="A4" s="33" t="s">
        <v>132</v>
      </c>
      <c r="B4" s="7" t="s">
        <v>31</v>
      </c>
      <c r="C4" s="29">
        <v>45956</v>
      </c>
      <c r="D4" s="7">
        <v>3</v>
      </c>
      <c r="E4" s="34" t="s">
        <v>133</v>
      </c>
    </row>
    <row r="5" ht="22.5" customHeight="1" spans="1:5">
      <c r="A5" s="33" t="s">
        <v>134</v>
      </c>
      <c r="B5" s="7" t="s">
        <v>135</v>
      </c>
      <c r="C5" s="29">
        <v>45956</v>
      </c>
      <c r="D5" s="7">
        <v>1</v>
      </c>
      <c r="E5" s="7" t="s">
        <v>136</v>
      </c>
    </row>
    <row r="6" ht="22.5" customHeight="1" spans="1:5">
      <c r="A6" s="33" t="s">
        <v>134</v>
      </c>
      <c r="B6" s="7" t="s">
        <v>135</v>
      </c>
      <c r="C6" s="29">
        <v>45956</v>
      </c>
      <c r="D6" s="7">
        <v>2</v>
      </c>
      <c r="E6" s="7" t="s">
        <v>137</v>
      </c>
    </row>
    <row r="7" ht="22.5" customHeight="1" spans="1:5">
      <c r="A7" s="33">
        <v>9</v>
      </c>
      <c r="B7" s="7" t="s">
        <v>26</v>
      </c>
      <c r="C7" s="29">
        <v>45957</v>
      </c>
      <c r="D7" s="7">
        <v>1</v>
      </c>
      <c r="E7" s="7" t="s">
        <v>138</v>
      </c>
    </row>
    <row r="8" ht="22.5" customHeight="1" spans="1:5">
      <c r="A8" s="33">
        <v>7</v>
      </c>
      <c r="B8" s="7" t="s">
        <v>31</v>
      </c>
      <c r="C8" s="29">
        <v>45957</v>
      </c>
      <c r="D8" s="7">
        <v>2</v>
      </c>
      <c r="E8" s="7" t="s">
        <v>139</v>
      </c>
    </row>
    <row r="9" ht="22.5" customHeight="1" spans="1:5">
      <c r="A9" s="33">
        <v>7</v>
      </c>
      <c r="B9" s="7" t="s">
        <v>31</v>
      </c>
      <c r="C9" s="29">
        <v>45958</v>
      </c>
      <c r="D9" s="7">
        <v>3</v>
      </c>
      <c r="E9" s="7" t="s">
        <v>140</v>
      </c>
    </row>
    <row r="10" ht="22.5" customHeight="1" spans="1:5">
      <c r="A10" s="33">
        <v>3</v>
      </c>
      <c r="B10" s="7" t="s">
        <v>31</v>
      </c>
      <c r="C10" s="29">
        <v>45958</v>
      </c>
      <c r="D10" s="7">
        <v>3</v>
      </c>
      <c r="E10" s="7" t="s">
        <v>141</v>
      </c>
    </row>
    <row r="11" ht="22.5" customHeight="1" spans="1:5">
      <c r="A11" s="33" t="s">
        <v>134</v>
      </c>
      <c r="B11" s="7" t="s">
        <v>135</v>
      </c>
      <c r="C11" s="29">
        <v>45958</v>
      </c>
      <c r="D11" s="7">
        <v>5</v>
      </c>
      <c r="E11" s="7" t="s">
        <v>142</v>
      </c>
    </row>
    <row r="12" ht="22.5" customHeight="1" spans="1:5">
      <c r="A12" s="33">
        <v>10</v>
      </c>
      <c r="B12" s="7" t="s">
        <v>26</v>
      </c>
      <c r="C12" s="35">
        <v>45958</v>
      </c>
      <c r="D12" s="7">
        <v>2</v>
      </c>
      <c r="E12" s="7" t="s">
        <v>143</v>
      </c>
    </row>
    <row r="13" ht="22.5" customHeight="1" spans="1:5">
      <c r="A13" s="33">
        <v>13</v>
      </c>
      <c r="B13" s="7" t="s">
        <v>24</v>
      </c>
      <c r="C13" s="29">
        <v>45958</v>
      </c>
      <c r="D13" s="7">
        <v>7</v>
      </c>
      <c r="E13" s="7" t="s">
        <v>144</v>
      </c>
    </row>
    <row r="14" ht="22.5" customHeight="1" spans="1:5">
      <c r="A14" s="33">
        <v>8</v>
      </c>
      <c r="B14" s="7" t="s">
        <v>24</v>
      </c>
      <c r="C14" s="29">
        <v>45958</v>
      </c>
      <c r="D14" s="7">
        <v>5</v>
      </c>
      <c r="E14" s="7" t="s">
        <v>145</v>
      </c>
    </row>
    <row r="15" ht="22.5" customHeight="1" spans="1:5">
      <c r="A15" s="33">
        <v>801</v>
      </c>
      <c r="B15" s="7" t="s">
        <v>24</v>
      </c>
      <c r="C15" s="29">
        <v>45958</v>
      </c>
      <c r="D15" s="7">
        <v>3</v>
      </c>
      <c r="E15" s="7" t="s">
        <v>146</v>
      </c>
    </row>
    <row r="16" ht="22.5" customHeight="1" spans="1:5">
      <c r="A16" s="33">
        <v>13</v>
      </c>
      <c r="B16" s="7" t="s">
        <v>24</v>
      </c>
      <c r="C16" s="29">
        <v>45959</v>
      </c>
      <c r="D16" s="7">
        <v>2</v>
      </c>
      <c r="E16" s="7" t="s">
        <v>147</v>
      </c>
    </row>
    <row r="17" ht="22.5" customHeight="1" spans="1:5">
      <c r="A17" s="33">
        <v>8</v>
      </c>
      <c r="B17" s="7" t="s">
        <v>24</v>
      </c>
      <c r="C17" s="29">
        <v>45959</v>
      </c>
      <c r="D17" s="7">
        <v>5</v>
      </c>
      <c r="E17" s="7" t="s">
        <v>148</v>
      </c>
    </row>
    <row r="18" ht="22.5" customHeight="1" spans="1:5">
      <c r="A18" s="33">
        <v>801</v>
      </c>
      <c r="B18" s="7" t="s">
        <v>24</v>
      </c>
      <c r="C18" s="29">
        <v>45959</v>
      </c>
      <c r="D18" s="7">
        <v>1</v>
      </c>
      <c r="E18" s="7" t="s">
        <v>149</v>
      </c>
    </row>
    <row r="19" ht="22.5" customHeight="1" spans="1:5">
      <c r="A19" s="33" t="s">
        <v>134</v>
      </c>
      <c r="B19" s="7" t="s">
        <v>26</v>
      </c>
      <c r="C19" s="29">
        <v>45959</v>
      </c>
      <c r="D19" s="7">
        <v>3</v>
      </c>
      <c r="E19" s="7" t="s">
        <v>150</v>
      </c>
    </row>
    <row r="20" ht="22.5" customHeight="1" spans="1:5">
      <c r="A20" s="33">
        <v>10</v>
      </c>
      <c r="B20" s="7" t="s">
        <v>26</v>
      </c>
      <c r="C20" s="29">
        <v>45960</v>
      </c>
      <c r="D20" s="7">
        <v>2</v>
      </c>
      <c r="E20" s="7" t="s">
        <v>151</v>
      </c>
    </row>
    <row r="21" ht="22.5" customHeight="1" spans="1:5">
      <c r="A21" s="33" t="s">
        <v>132</v>
      </c>
      <c r="B21" s="7" t="s">
        <v>31</v>
      </c>
      <c r="C21" s="29">
        <v>45960</v>
      </c>
      <c r="D21" s="7">
        <v>3</v>
      </c>
      <c r="E21" s="7" t="s">
        <v>152</v>
      </c>
    </row>
    <row r="22" ht="22.5" customHeight="1" spans="1:5">
      <c r="A22" s="33" t="s">
        <v>132</v>
      </c>
      <c r="B22" s="7" t="s">
        <v>31</v>
      </c>
      <c r="C22" s="29">
        <v>45961</v>
      </c>
      <c r="D22" s="7">
        <v>5</v>
      </c>
      <c r="E22" s="7" t="s">
        <v>153</v>
      </c>
    </row>
    <row r="23" ht="22.5" customHeight="1" spans="1:5">
      <c r="A23" s="33">
        <v>6</v>
      </c>
      <c r="B23" s="7" t="s">
        <v>31</v>
      </c>
      <c r="C23" s="29">
        <v>45962</v>
      </c>
      <c r="D23" s="7">
        <v>2</v>
      </c>
      <c r="E23" s="7" t="s">
        <v>154</v>
      </c>
    </row>
    <row r="24" ht="22.5" customHeight="1" spans="1:5">
      <c r="A24" s="33">
        <v>804</v>
      </c>
      <c r="B24" s="7" t="s">
        <v>31</v>
      </c>
      <c r="C24" s="29">
        <v>45963</v>
      </c>
      <c r="D24" s="7">
        <v>1</v>
      </c>
      <c r="E24" s="7" t="s">
        <v>155</v>
      </c>
    </row>
    <row r="25" ht="22.5" customHeight="1" spans="1:5">
      <c r="A25" s="33">
        <v>1</v>
      </c>
      <c r="B25" s="7" t="s">
        <v>26</v>
      </c>
      <c r="C25" s="29">
        <v>45963</v>
      </c>
      <c r="D25" s="7">
        <v>1</v>
      </c>
      <c r="E25" s="7" t="s">
        <v>156</v>
      </c>
    </row>
    <row r="26" ht="22.5" customHeight="1" spans="1:5">
      <c r="A26" s="33" t="s">
        <v>134</v>
      </c>
      <c r="B26" s="7" t="s">
        <v>135</v>
      </c>
      <c r="C26" s="29">
        <v>45963</v>
      </c>
      <c r="D26" s="7">
        <v>2</v>
      </c>
      <c r="E26" s="7" t="s">
        <v>157</v>
      </c>
    </row>
    <row r="27" ht="22.5" customHeight="1" spans="1:5">
      <c r="A27" s="33"/>
      <c r="B27" s="7" t="s">
        <v>26</v>
      </c>
      <c r="C27" s="29">
        <v>45963</v>
      </c>
      <c r="D27" s="7">
        <v>2</v>
      </c>
      <c r="E27" s="7" t="s">
        <v>158</v>
      </c>
    </row>
    <row r="28" ht="22.5" customHeight="1" spans="1:5">
      <c r="A28" s="33">
        <v>2</v>
      </c>
      <c r="B28" s="7" t="s">
        <v>24</v>
      </c>
      <c r="C28" s="29">
        <v>45963</v>
      </c>
      <c r="D28" s="7">
        <v>10</v>
      </c>
      <c r="E28" s="7" t="s">
        <v>159</v>
      </c>
    </row>
    <row r="29" ht="22.5" customHeight="1" spans="1:5">
      <c r="A29" s="33">
        <v>2</v>
      </c>
      <c r="B29" s="7" t="s">
        <v>24</v>
      </c>
      <c r="C29" s="29">
        <v>45963</v>
      </c>
      <c r="D29" s="7">
        <v>1</v>
      </c>
      <c r="E29" s="7" t="s">
        <v>160</v>
      </c>
    </row>
    <row r="30" ht="22.5" customHeight="1" spans="1:5">
      <c r="A30" s="33">
        <v>6</v>
      </c>
      <c r="B30" s="7" t="s">
        <v>31</v>
      </c>
      <c r="C30" s="29">
        <v>45964</v>
      </c>
      <c r="D30" s="7">
        <v>3</v>
      </c>
      <c r="E30" s="7" t="s">
        <v>161</v>
      </c>
    </row>
    <row r="31" ht="22.5" customHeight="1" spans="1:5">
      <c r="A31" s="33" t="s">
        <v>134</v>
      </c>
      <c r="B31" s="7" t="s">
        <v>135</v>
      </c>
      <c r="C31" s="29">
        <v>45964</v>
      </c>
      <c r="D31" s="7">
        <v>4</v>
      </c>
      <c r="E31" s="7" t="s">
        <v>162</v>
      </c>
    </row>
    <row r="32" ht="22.5" customHeight="1" spans="1:5">
      <c r="A32" s="7">
        <v>11</v>
      </c>
      <c r="B32" s="7" t="s">
        <v>26</v>
      </c>
      <c r="C32" s="29">
        <v>45964</v>
      </c>
      <c r="D32" s="7">
        <v>4</v>
      </c>
      <c r="E32" s="7" t="s">
        <v>163</v>
      </c>
    </row>
    <row r="33" ht="22.5" customHeight="1" spans="1:5">
      <c r="A33" s="7">
        <v>3</v>
      </c>
      <c r="B33" s="7" t="s">
        <v>31</v>
      </c>
      <c r="C33" s="29">
        <v>45964</v>
      </c>
      <c r="D33" s="7">
        <v>4</v>
      </c>
      <c r="E33" s="7" t="s">
        <v>164</v>
      </c>
    </row>
    <row r="34" ht="22.5" customHeight="1" spans="1:5">
      <c r="A34" s="33" t="s">
        <v>165</v>
      </c>
      <c r="B34" s="7" t="s">
        <v>135</v>
      </c>
      <c r="C34" s="29">
        <v>45965</v>
      </c>
      <c r="D34" s="7">
        <v>3</v>
      </c>
      <c r="E34" s="7" t="s">
        <v>166</v>
      </c>
    </row>
    <row r="35" ht="22.5" customHeight="1" spans="1:5">
      <c r="A35" s="7">
        <v>3</v>
      </c>
      <c r="B35" s="7" t="s">
        <v>31</v>
      </c>
      <c r="C35" s="29">
        <v>45965</v>
      </c>
      <c r="D35" s="7">
        <v>4</v>
      </c>
      <c r="E35" s="7" t="s">
        <v>167</v>
      </c>
    </row>
    <row r="36" ht="22.5" customHeight="1" spans="1:5">
      <c r="A36" s="7">
        <v>805</v>
      </c>
      <c r="B36" s="7" t="s">
        <v>31</v>
      </c>
      <c r="C36" s="29">
        <v>45965</v>
      </c>
      <c r="D36" s="7">
        <v>1</v>
      </c>
      <c r="E36" s="7" t="s">
        <v>168</v>
      </c>
    </row>
    <row r="37" ht="22.5" customHeight="1" spans="1:5">
      <c r="A37" s="33" t="s">
        <v>165</v>
      </c>
      <c r="B37" s="7" t="s">
        <v>135</v>
      </c>
      <c r="C37" s="29">
        <v>45960</v>
      </c>
      <c r="D37" s="7">
        <v>1.5</v>
      </c>
      <c r="E37" s="7" t="s">
        <v>169</v>
      </c>
    </row>
    <row r="38" ht="22.5" customHeight="1" spans="1:5">
      <c r="A38" s="33" t="s">
        <v>165</v>
      </c>
      <c r="B38" s="7" t="s">
        <v>26</v>
      </c>
      <c r="C38" s="29">
        <v>45960</v>
      </c>
      <c r="D38" s="7">
        <v>1.5</v>
      </c>
      <c r="E38" s="7" t="s">
        <v>169</v>
      </c>
    </row>
    <row r="39" ht="22.5" customHeight="1" spans="1:5">
      <c r="A39" s="33" t="s">
        <v>165</v>
      </c>
      <c r="B39" s="7" t="s">
        <v>135</v>
      </c>
      <c r="C39" s="29">
        <v>45965</v>
      </c>
      <c r="D39" s="7">
        <v>1.5</v>
      </c>
      <c r="E39" s="7" t="s">
        <v>170</v>
      </c>
    </row>
    <row r="40" ht="22.5" customHeight="1" spans="1:5">
      <c r="A40" s="33" t="s">
        <v>165</v>
      </c>
      <c r="B40" s="7" t="s">
        <v>26</v>
      </c>
      <c r="C40" s="29">
        <v>45965</v>
      </c>
      <c r="D40" s="7">
        <v>1.5</v>
      </c>
      <c r="E40" s="7" t="s">
        <v>170</v>
      </c>
    </row>
    <row r="41" ht="22.5" customHeight="1" spans="1:5">
      <c r="A41" s="7">
        <v>11</v>
      </c>
      <c r="B41" s="7" t="s">
        <v>26</v>
      </c>
      <c r="C41" s="29">
        <v>45965</v>
      </c>
      <c r="D41" s="7">
        <v>0.1</v>
      </c>
      <c r="E41" s="7" t="s">
        <v>171</v>
      </c>
    </row>
    <row r="42" ht="22.5" customHeight="1" spans="1:5">
      <c r="A42" s="33" t="s">
        <v>132</v>
      </c>
      <c r="B42" s="7" t="s">
        <v>31</v>
      </c>
      <c r="C42" s="29">
        <v>45965</v>
      </c>
      <c r="D42" s="7">
        <v>3</v>
      </c>
      <c r="E42" s="7" t="s">
        <v>172</v>
      </c>
    </row>
    <row r="43" ht="22.5" customHeight="1" spans="1:5">
      <c r="A43" s="33" t="s">
        <v>134</v>
      </c>
      <c r="B43" s="7" t="s">
        <v>135</v>
      </c>
      <c r="C43" s="29">
        <v>45965</v>
      </c>
      <c r="D43" s="7">
        <v>1</v>
      </c>
      <c r="E43" s="7" t="s">
        <v>173</v>
      </c>
    </row>
    <row r="44" ht="22.5" customHeight="1" spans="1:5">
      <c r="A44" s="33" t="s">
        <v>165</v>
      </c>
      <c r="B44" s="7" t="s">
        <v>26</v>
      </c>
      <c r="C44" s="29">
        <v>45965</v>
      </c>
      <c r="D44" s="7">
        <v>2</v>
      </c>
      <c r="E44" s="7" t="s">
        <v>174</v>
      </c>
    </row>
    <row r="45" ht="22.5" customHeight="1" spans="1:5">
      <c r="A45" s="33" t="s">
        <v>175</v>
      </c>
      <c r="B45" s="7" t="s">
        <v>26</v>
      </c>
      <c r="C45" s="29">
        <v>45966</v>
      </c>
      <c r="D45" s="7">
        <v>2</v>
      </c>
      <c r="E45" s="7" t="s">
        <v>176</v>
      </c>
    </row>
    <row r="46" ht="22.5" customHeight="1" spans="1:5">
      <c r="A46" s="7">
        <v>5</v>
      </c>
      <c r="B46" s="7" t="s">
        <v>24</v>
      </c>
      <c r="C46" s="29">
        <v>45966</v>
      </c>
      <c r="D46" s="7">
        <v>7</v>
      </c>
      <c r="E46" s="7" t="s">
        <v>177</v>
      </c>
    </row>
    <row r="47" ht="22.5" customHeight="1" spans="1:5">
      <c r="A47" s="33" t="s">
        <v>132</v>
      </c>
      <c r="B47" s="7" t="s">
        <v>31</v>
      </c>
      <c r="C47" s="29">
        <v>45965</v>
      </c>
      <c r="D47" s="7">
        <v>3.5</v>
      </c>
      <c r="E47" s="7" t="s">
        <v>178</v>
      </c>
    </row>
    <row r="48" ht="22.5" customHeight="1" spans="1:5">
      <c r="A48" s="33" t="s">
        <v>175</v>
      </c>
      <c r="B48" s="7" t="s">
        <v>31</v>
      </c>
      <c r="C48" s="29">
        <v>45966</v>
      </c>
      <c r="D48" s="7">
        <v>1.5</v>
      </c>
      <c r="E48" s="7" t="s">
        <v>179</v>
      </c>
    </row>
    <row r="49" ht="22.5" customHeight="1" spans="1:7">
      <c r="A49" s="33" t="s">
        <v>175</v>
      </c>
      <c r="B49" s="7" t="s">
        <v>24</v>
      </c>
      <c r="C49" s="29">
        <v>45966</v>
      </c>
      <c r="D49" s="7">
        <v>1</v>
      </c>
      <c r="E49" s="7" t="s">
        <v>180</v>
      </c>
    </row>
    <row r="50" ht="22.5" customHeight="1" spans="1:7">
      <c r="A50" s="33" t="s">
        <v>181</v>
      </c>
      <c r="B50" s="7" t="s">
        <v>135</v>
      </c>
      <c r="C50" s="29">
        <v>45966</v>
      </c>
      <c r="D50" s="7">
        <v>1.5</v>
      </c>
      <c r="E50" s="7" t="s">
        <v>182</v>
      </c>
    </row>
    <row r="51" ht="22.5" customHeight="1" spans="1:7">
      <c r="A51" s="33" t="s">
        <v>132</v>
      </c>
      <c r="B51" s="7" t="s">
        <v>135</v>
      </c>
      <c r="C51" s="29">
        <v>45967</v>
      </c>
      <c r="D51" s="7">
        <v>1.5</v>
      </c>
      <c r="E51" s="7" t="s">
        <v>183</v>
      </c>
    </row>
    <row r="52" ht="22.5" customHeight="1" spans="1:7">
      <c r="A52" s="33" t="s">
        <v>175</v>
      </c>
      <c r="B52" s="7" t="s">
        <v>26</v>
      </c>
      <c r="C52" s="29">
        <v>45966</v>
      </c>
      <c r="D52" s="7">
        <v>11</v>
      </c>
      <c r="E52" s="7" t="s">
        <v>184</v>
      </c>
    </row>
    <row r="53" ht="22.5" customHeight="1" spans="1:7">
      <c r="A53" s="7" t="s">
        <v>165</v>
      </c>
      <c r="B53" s="7" t="s">
        <v>185</v>
      </c>
      <c r="C53" s="29">
        <v>45958</v>
      </c>
      <c r="D53" s="7">
        <v>2</v>
      </c>
      <c r="E53" s="7" t="s">
        <v>186</v>
      </c>
    </row>
    <row r="54" ht="22.5" customHeight="1" spans="1:7">
      <c r="A54" s="7">
        <v>4</v>
      </c>
      <c r="B54" s="7" t="s">
        <v>43</v>
      </c>
      <c r="C54" s="29">
        <v>45989</v>
      </c>
      <c r="D54" s="7">
        <v>2</v>
      </c>
      <c r="E54" s="7" t="s">
        <v>187</v>
      </c>
    </row>
    <row r="55" ht="22.5" customHeight="1" spans="1:7">
      <c r="A55" s="7">
        <v>4</v>
      </c>
      <c r="B55" s="7" t="s">
        <v>43</v>
      </c>
      <c r="C55" s="29">
        <v>45992</v>
      </c>
      <c r="D55" s="7">
        <v>2</v>
      </c>
      <c r="E55" s="7" t="s">
        <v>187</v>
      </c>
    </row>
    <row r="56" ht="22.5" customHeight="1" spans="1:7">
      <c r="A56" s="7">
        <v>4</v>
      </c>
      <c r="B56" s="7" t="s">
        <v>43</v>
      </c>
      <c r="C56" s="29">
        <v>46027</v>
      </c>
      <c r="D56" s="7">
        <v>3</v>
      </c>
      <c r="E56" s="7" t="s">
        <v>188</v>
      </c>
    </row>
    <row r="57" ht="22.5" customHeight="1" spans="1:7">
      <c r="A57" s="7" t="s">
        <v>165</v>
      </c>
      <c r="B57" s="7" t="s">
        <v>185</v>
      </c>
      <c r="C57" s="29">
        <v>45960</v>
      </c>
      <c r="D57" s="7">
        <v>3</v>
      </c>
      <c r="E57" s="7" t="s">
        <v>189</v>
      </c>
    </row>
    <row r="58" ht="22.5" customHeight="1" spans="1:7">
      <c r="A58" s="7" t="s">
        <v>165</v>
      </c>
      <c r="B58" s="7" t="s">
        <v>185</v>
      </c>
      <c r="C58" s="29">
        <v>45961</v>
      </c>
      <c r="D58" s="7">
        <v>1.5</v>
      </c>
      <c r="E58" s="7" t="s">
        <v>189</v>
      </c>
    </row>
    <row r="59" ht="22.5" customHeight="1" spans="1:7">
      <c r="A59" s="7" t="s">
        <v>190</v>
      </c>
      <c r="B59" s="7" t="s">
        <v>43</v>
      </c>
      <c r="C59" s="29"/>
      <c r="D59" s="7">
        <v>2.5</v>
      </c>
      <c r="E59" s="7" t="s">
        <v>191</v>
      </c>
    </row>
    <row r="60" ht="22.5" customHeight="1" spans="1:7">
      <c r="A60" s="7" t="s">
        <v>165</v>
      </c>
      <c r="B60" s="7" t="s">
        <v>185</v>
      </c>
      <c r="C60" s="29">
        <v>45964</v>
      </c>
      <c r="D60" s="7">
        <v>6.5</v>
      </c>
      <c r="E60" s="7" t="s">
        <v>165</v>
      </c>
    </row>
    <row r="61" ht="22.5" customHeight="1" spans="1:7">
      <c r="A61" s="7" t="s">
        <v>165</v>
      </c>
      <c r="B61" s="7" t="s">
        <v>185</v>
      </c>
      <c r="C61" s="29">
        <v>45965</v>
      </c>
      <c r="D61" s="7">
        <v>2</v>
      </c>
      <c r="E61" s="7" t="s">
        <v>192</v>
      </c>
    </row>
    <row r="62" ht="22.5" customHeight="1" spans="1:7">
      <c r="A62" s="7" t="s">
        <v>193</v>
      </c>
      <c r="B62" s="7" t="s">
        <v>185</v>
      </c>
      <c r="C62" s="29">
        <v>45965</v>
      </c>
      <c r="D62" s="7">
        <v>5</v>
      </c>
      <c r="E62" s="7" t="s">
        <v>194</v>
      </c>
      <c r="G62" s="21" t="s">
        <v>195</v>
      </c>
    </row>
    <row r="63" ht="22.5" customHeight="1" spans="1:7">
      <c r="A63" s="7" t="s">
        <v>165</v>
      </c>
      <c r="B63" s="7" t="s">
        <v>185</v>
      </c>
      <c r="C63" s="29">
        <v>45966</v>
      </c>
      <c r="D63" s="7">
        <v>8</v>
      </c>
      <c r="E63" s="7" t="s">
        <v>196</v>
      </c>
    </row>
    <row r="64" ht="22.5" customHeight="1" spans="1:7">
      <c r="A64" s="7" t="s">
        <v>165</v>
      </c>
      <c r="B64" s="7" t="s">
        <v>185</v>
      </c>
      <c r="C64" s="29">
        <v>45963</v>
      </c>
      <c r="D64" s="7">
        <v>10</v>
      </c>
      <c r="E64" s="7" t="s">
        <v>197</v>
      </c>
    </row>
    <row r="65" ht="22.5" customHeight="1" spans="1:5">
      <c r="A65" s="7">
        <v>6</v>
      </c>
      <c r="B65" s="7" t="s">
        <v>43</v>
      </c>
      <c r="C65" s="29">
        <v>45964</v>
      </c>
      <c r="D65" s="7">
        <v>4</v>
      </c>
      <c r="E65" s="7" t="s">
        <v>198</v>
      </c>
    </row>
    <row r="66" ht="22.5" customHeight="1" spans="1:5">
      <c r="A66" s="7" t="s">
        <v>132</v>
      </c>
      <c r="B66" s="7" t="s">
        <v>135</v>
      </c>
      <c r="C66" s="29">
        <v>45967</v>
      </c>
      <c r="D66" s="7">
        <v>1</v>
      </c>
      <c r="E66" s="7" t="s">
        <v>199</v>
      </c>
    </row>
    <row r="67" ht="22.5" customHeight="1" spans="1:5">
      <c r="A67" s="7" t="s">
        <v>193</v>
      </c>
      <c r="B67" s="7" t="s">
        <v>43</v>
      </c>
      <c r="C67" s="29">
        <v>45967</v>
      </c>
      <c r="D67" s="7">
        <v>2</v>
      </c>
      <c r="E67" s="7" t="s">
        <v>200</v>
      </c>
    </row>
    <row r="68" ht="22.5" customHeight="1" spans="1:5">
      <c r="A68" s="7"/>
      <c r="B68" s="7"/>
      <c r="C68" s="29"/>
      <c r="D68" s="7"/>
      <c r="E68" s="7"/>
    </row>
    <row r="69" ht="22.5" customHeight="1" spans="1:5">
      <c r="A69" s="7"/>
      <c r="B69" s="7"/>
      <c r="C69" s="29"/>
      <c r="D69" s="7"/>
      <c r="E69" s="7"/>
    </row>
    <row r="70" ht="22.5" customHeight="1" spans="1:5">
      <c r="A70" s="7"/>
      <c r="B70" s="7"/>
      <c r="C70" s="29"/>
      <c r="D70" s="7"/>
      <c r="E70" s="7"/>
    </row>
    <row r="71" ht="22.5" customHeight="1" spans="1:5">
      <c r="A71" s="7"/>
      <c r="B71" s="7"/>
      <c r="C71" s="29"/>
      <c r="D71" s="7"/>
      <c r="E71" s="7"/>
    </row>
    <row r="72" ht="22.5" customHeight="1" spans="1:5">
      <c r="A72" s="7"/>
      <c r="B72" s="7"/>
      <c r="C72" s="29"/>
      <c r="D72" s="7"/>
      <c r="E72" s="7"/>
    </row>
    <row r="73" ht="22.5" customHeight="1" spans="1:5">
      <c r="A73" s="7"/>
      <c r="B73" s="7"/>
      <c r="C73" s="29"/>
      <c r="D73" s="7"/>
      <c r="E73" s="7"/>
    </row>
    <row r="74" ht="22.5" customHeight="1" spans="1:5">
      <c r="A74" s="7"/>
      <c r="B74" s="7"/>
      <c r="C74" s="29"/>
      <c r="D74" s="7"/>
      <c r="E74" s="7"/>
    </row>
    <row r="75" ht="22.5" customHeight="1" spans="1:5">
      <c r="A75" s="7"/>
      <c r="B75" s="7"/>
      <c r="C75" s="29"/>
      <c r="D75" s="7"/>
      <c r="E75" s="7"/>
    </row>
    <row r="76" ht="22.5" customHeight="1" spans="1:5">
      <c r="A76" s="7"/>
      <c r="B76" s="7"/>
      <c r="C76" s="29"/>
      <c r="D76" s="7"/>
      <c r="E76" s="7"/>
    </row>
    <row r="77" ht="22.5" customHeight="1" spans="1:5">
      <c r="A77" s="7"/>
      <c r="B77" s="7"/>
      <c r="C77" s="29"/>
      <c r="D77" s="7"/>
      <c r="E77" s="7"/>
    </row>
    <row r="78" ht="22.5" customHeight="1" spans="1:5">
      <c r="A78" s="7"/>
      <c r="B78" s="7"/>
      <c r="C78" s="29"/>
      <c r="D78" s="7"/>
      <c r="E78" s="7"/>
    </row>
    <row r="79" ht="22.5" customHeight="1" spans="1:5">
      <c r="A79" s="7"/>
      <c r="B79" s="7"/>
      <c r="C79" s="29"/>
      <c r="D79" s="7"/>
      <c r="E79" s="7"/>
    </row>
    <row r="80" ht="22.5" customHeight="1" spans="1:5">
      <c r="A80" s="7"/>
      <c r="B80" s="7"/>
      <c r="C80" s="29"/>
      <c r="D80" s="7"/>
      <c r="E80" s="7"/>
    </row>
    <row r="81" ht="22.5" customHeight="1" spans="1:5">
      <c r="A81" s="7"/>
      <c r="B81" s="7"/>
      <c r="C81" s="29"/>
      <c r="D81" s="7"/>
      <c r="E81" s="7"/>
    </row>
    <row r="82" ht="22.5" customHeight="1" spans="1:5">
      <c r="A82" s="7"/>
      <c r="B82" s="7"/>
      <c r="C82" s="29"/>
      <c r="D82" s="7"/>
      <c r="E82" s="7"/>
    </row>
    <row r="83" ht="22.5" customHeight="1" spans="1:5">
      <c r="A83" s="7"/>
      <c r="B83" s="7"/>
      <c r="C83" s="29"/>
      <c r="D83" s="7"/>
      <c r="E83" s="7"/>
    </row>
    <row r="84" ht="22.5" customHeight="1" spans="1:5">
      <c r="A84" s="7"/>
      <c r="B84" s="7"/>
      <c r="C84" s="29"/>
      <c r="D84" s="7"/>
      <c r="E84" s="7"/>
    </row>
    <row r="85" ht="22.5" customHeight="1" spans="1:5">
      <c r="A85" s="7"/>
      <c r="B85" s="7"/>
      <c r="C85" s="29"/>
      <c r="D85" s="7"/>
      <c r="E85" s="7"/>
    </row>
    <row r="86" ht="22.5" customHeight="1" spans="1:5">
      <c r="A86" s="7"/>
      <c r="B86" s="7"/>
      <c r="C86" s="29"/>
      <c r="D86" s="7"/>
      <c r="E86" s="7"/>
    </row>
    <row r="87" ht="22.5" customHeight="1" spans="1:5">
      <c r="A87" s="7"/>
      <c r="B87" s="7"/>
      <c r="C87" s="29"/>
      <c r="D87" s="7"/>
      <c r="E87" s="7"/>
    </row>
    <row r="88" ht="22.5" customHeight="1" spans="1:5">
      <c r="A88" s="7"/>
      <c r="B88" s="7"/>
      <c r="C88" s="29"/>
      <c r="D88" s="7"/>
      <c r="E88" s="7"/>
    </row>
    <row r="89" ht="22.5" customHeight="1" spans="1:5">
      <c r="A89" s="7"/>
      <c r="B89" s="7"/>
      <c r="C89" s="29"/>
      <c r="D89" s="7"/>
      <c r="E89" s="7"/>
    </row>
    <row r="90" ht="22.5" customHeight="1" spans="1:5">
      <c r="A90" s="7"/>
      <c r="B90" s="7"/>
      <c r="C90" s="29"/>
      <c r="D90" s="7"/>
      <c r="E90" s="7"/>
    </row>
    <row r="91" ht="22.5" customHeight="1" spans="1:5">
      <c r="A91" s="7"/>
      <c r="B91" s="7"/>
      <c r="C91" s="29"/>
      <c r="D91" s="7"/>
      <c r="E91" s="7"/>
    </row>
    <row r="92" ht="22.5" customHeight="1" spans="1:5">
      <c r="A92" s="7"/>
      <c r="B92" s="7"/>
      <c r="C92" s="29"/>
      <c r="D92" s="7"/>
      <c r="E92" s="7"/>
    </row>
    <row r="93" ht="22.5" customHeight="1" spans="1:5">
      <c r="A93" s="7"/>
      <c r="B93" s="7"/>
      <c r="C93" s="29"/>
      <c r="D93" s="7"/>
      <c r="E93" s="7"/>
    </row>
    <row r="94" ht="22.5" customHeight="1" spans="1:5">
      <c r="A94" s="7"/>
      <c r="B94" s="7"/>
      <c r="C94" s="29"/>
      <c r="D94" s="7"/>
      <c r="E94" s="7"/>
    </row>
    <row r="95" ht="22.5" customHeight="1" spans="1:5">
      <c r="A95" s="7"/>
      <c r="B95" s="7"/>
      <c r="C95" s="29"/>
      <c r="D95" s="7"/>
      <c r="E95" s="7"/>
    </row>
    <row r="96" ht="22.5" customHeight="1" spans="1:5">
      <c r="A96" s="7"/>
      <c r="B96" s="7"/>
      <c r="C96" s="29"/>
      <c r="D96" s="7"/>
      <c r="E96" s="7"/>
    </row>
    <row r="97" ht="22.5" customHeight="1" spans="1:5">
      <c r="A97" s="7"/>
      <c r="B97" s="7"/>
      <c r="C97" s="29"/>
      <c r="D97" s="7"/>
      <c r="E97" s="7"/>
    </row>
    <row r="98" ht="22.5" customHeight="1" spans="1:5">
      <c r="A98" s="7"/>
      <c r="B98" s="7"/>
      <c r="C98" s="29"/>
      <c r="D98" s="7"/>
      <c r="E98" s="7"/>
    </row>
    <row r="99" ht="22.5" customHeight="1" spans="1:5">
      <c r="A99" s="7"/>
      <c r="B99" s="7"/>
      <c r="C99" s="29"/>
      <c r="D99" s="7"/>
      <c r="E99" s="7"/>
    </row>
    <row r="100" ht="22.5" customHeight="1" spans="1:5">
      <c r="A100" s="7"/>
      <c r="B100" s="7"/>
      <c r="C100" s="29"/>
      <c r="D100" s="7"/>
      <c r="E100" s="7"/>
    </row>
    <row r="101" ht="22.5" customHeight="1" spans="1:5">
      <c r="A101" s="7"/>
      <c r="B101" s="7"/>
      <c r="C101" s="29"/>
      <c r="D101" s="7"/>
      <c r="E101" s="7"/>
    </row>
    <row r="102" ht="22.5" customHeight="1" spans="1:5">
      <c r="A102" s="7"/>
      <c r="B102" s="7"/>
      <c r="C102" s="29"/>
      <c r="D102" s="7"/>
      <c r="E102" s="7"/>
    </row>
    <row r="103" ht="22.5" customHeight="1" spans="1:5">
      <c r="A103" s="7"/>
      <c r="B103" s="7"/>
      <c r="C103" s="29"/>
      <c r="D103" s="7"/>
      <c r="E103" s="7"/>
    </row>
    <row r="104" ht="22.5" customHeight="1" spans="1:5">
      <c r="A104" s="7"/>
      <c r="B104" s="7"/>
      <c r="C104" s="29"/>
      <c r="D104" s="7"/>
      <c r="E104" s="7"/>
    </row>
    <row r="105" ht="22.5" customHeight="1" spans="1:5">
      <c r="A105" s="7"/>
      <c r="B105" s="7"/>
      <c r="C105" s="29"/>
      <c r="D105" s="7"/>
      <c r="E105" s="7"/>
    </row>
    <row r="106" ht="22.5" customHeight="1" spans="1:5">
      <c r="A106" s="7"/>
      <c r="B106" s="7"/>
      <c r="C106" s="29"/>
      <c r="D106" s="7"/>
      <c r="E106" s="7"/>
    </row>
    <row r="107" ht="22.5" customHeight="1" spans="1:5">
      <c r="A107" s="7"/>
      <c r="B107" s="7"/>
      <c r="C107" s="29"/>
      <c r="D107" s="7"/>
      <c r="E107" s="7"/>
    </row>
    <row r="108" ht="22.5" customHeight="1" spans="1:5">
      <c r="A108" s="7"/>
      <c r="B108" s="7"/>
      <c r="C108" s="29"/>
      <c r="D108" s="7"/>
      <c r="E108" s="7"/>
    </row>
    <row r="109" ht="22.5" customHeight="1" spans="1:5">
      <c r="A109" s="7"/>
      <c r="B109" s="7"/>
      <c r="C109" s="29"/>
      <c r="D109" s="7"/>
      <c r="E109" s="7"/>
    </row>
    <row r="110" ht="22.5" customHeight="1" spans="1:5">
      <c r="A110" s="7"/>
      <c r="B110" s="7"/>
      <c r="C110" s="29"/>
      <c r="D110" s="7"/>
      <c r="E110" s="7"/>
    </row>
    <row r="111" ht="22.5" customHeight="1" spans="1:5">
      <c r="A111" s="7"/>
      <c r="B111" s="7"/>
      <c r="C111" s="29"/>
      <c r="D111" s="7"/>
      <c r="E111" s="7"/>
    </row>
    <row r="112" ht="22.5" customHeight="1" spans="1:5">
      <c r="A112" s="7"/>
      <c r="B112" s="7"/>
      <c r="C112" s="29"/>
      <c r="D112" s="7"/>
      <c r="E112" s="7"/>
    </row>
    <row r="113" ht="22.5" customHeight="1" spans="1:5">
      <c r="A113" s="7"/>
      <c r="B113" s="7"/>
      <c r="C113" s="29"/>
      <c r="D113" s="7"/>
      <c r="E113" s="7"/>
    </row>
    <row r="114" ht="22.5" customHeight="1" spans="1:5">
      <c r="A114" s="7"/>
      <c r="B114" s="7"/>
      <c r="C114" s="29"/>
      <c r="D114" s="7"/>
      <c r="E114" s="7"/>
    </row>
    <row r="115" ht="22.5" customHeight="1" spans="1:5">
      <c r="A115" s="7"/>
      <c r="B115" s="7"/>
      <c r="C115" s="29"/>
      <c r="D115" s="7"/>
      <c r="E115" s="7"/>
    </row>
    <row r="116" ht="22.5" customHeight="1" spans="1:5">
      <c r="A116" s="7"/>
      <c r="B116" s="7"/>
      <c r="C116" s="29"/>
      <c r="D116" s="7"/>
      <c r="E116" s="7"/>
    </row>
    <row r="117" ht="22.5" customHeight="1" spans="1:5">
      <c r="A117" s="7"/>
      <c r="B117" s="7"/>
      <c r="C117" s="29"/>
      <c r="D117" s="7"/>
      <c r="E117" s="7"/>
    </row>
    <row r="118" ht="22.5" customHeight="1" spans="1:5">
      <c r="A118" s="7"/>
      <c r="B118" s="7"/>
      <c r="C118" s="29"/>
      <c r="D118" s="7"/>
      <c r="E118" s="7"/>
    </row>
    <row r="119" ht="22.5" customHeight="1" spans="1:5">
      <c r="A119" s="7"/>
      <c r="B119" s="7"/>
      <c r="C119" s="29"/>
      <c r="D119" s="7"/>
      <c r="E119" s="7"/>
    </row>
    <row r="120" ht="22.5" customHeight="1" spans="1:5">
      <c r="A120" s="7"/>
      <c r="B120" s="7"/>
      <c r="C120" s="29"/>
      <c r="D120" s="7"/>
      <c r="E120" s="7"/>
    </row>
    <row r="121" ht="22.5" customHeight="1" spans="1:5">
      <c r="A121" s="7"/>
      <c r="B121" s="7"/>
      <c r="C121" s="29"/>
      <c r="D121" s="7"/>
      <c r="E121" s="7"/>
    </row>
    <row r="122" ht="22.5" customHeight="1" spans="1:5">
      <c r="A122" s="7"/>
      <c r="B122" s="7"/>
      <c r="C122" s="29"/>
      <c r="D122" s="7"/>
      <c r="E122" s="7"/>
    </row>
    <row r="123" ht="22.5" customHeight="1" spans="1:5">
      <c r="A123" s="7"/>
      <c r="B123" s="7"/>
      <c r="C123" s="29"/>
      <c r="D123" s="7"/>
      <c r="E123" s="7"/>
    </row>
    <row r="124" ht="22.5" customHeight="1" spans="1:5">
      <c r="A124" s="7"/>
      <c r="B124" s="7"/>
      <c r="C124" s="29"/>
      <c r="D124" s="7"/>
      <c r="E124" s="7"/>
    </row>
    <row r="125" ht="22.5" customHeight="1" spans="1:5">
      <c r="A125" s="7"/>
      <c r="B125" s="7"/>
      <c r="C125" s="29"/>
      <c r="D125" s="7"/>
      <c r="E125" s="7"/>
    </row>
    <row r="126" ht="22.5" customHeight="1" spans="1:5">
      <c r="A126" s="7"/>
      <c r="B126" s="7"/>
      <c r="C126" s="29"/>
      <c r="D126" s="7"/>
      <c r="E126" s="7"/>
    </row>
    <row r="127" ht="22.5" customHeight="1" spans="1:5">
      <c r="A127" s="7"/>
      <c r="B127" s="7"/>
      <c r="C127" s="29"/>
      <c r="D127" s="7"/>
      <c r="E127" s="7"/>
    </row>
    <row r="128" ht="22.5" customHeight="1" spans="1:5">
      <c r="A128" s="7"/>
      <c r="B128" s="7"/>
      <c r="C128" s="29"/>
      <c r="D128" s="7"/>
      <c r="E128" s="7"/>
    </row>
    <row r="129" ht="22.5" customHeight="1" spans="1:5">
      <c r="A129" s="7"/>
      <c r="B129" s="7"/>
      <c r="C129" s="29"/>
      <c r="D129" s="7"/>
      <c r="E129" s="7"/>
    </row>
    <row r="130" ht="22.5" customHeight="1" spans="1:5">
      <c r="A130" s="7"/>
      <c r="B130" s="7"/>
      <c r="C130" s="29"/>
      <c r="D130" s="7"/>
      <c r="E130" s="7"/>
    </row>
    <row r="131" ht="22.5" customHeight="1" spans="1:5">
      <c r="A131" s="7"/>
      <c r="B131" s="7"/>
      <c r="C131" s="29"/>
      <c r="D131" s="7"/>
      <c r="E131" s="7"/>
    </row>
    <row r="132" ht="22.5" customHeight="1" spans="1:5">
      <c r="A132" s="7"/>
      <c r="B132" s="7"/>
      <c r="C132" s="29"/>
      <c r="D132" s="7"/>
      <c r="E132" s="7"/>
    </row>
    <row r="133" ht="22.5" customHeight="1" spans="1:5">
      <c r="A133" s="7"/>
      <c r="B133" s="7"/>
      <c r="C133" s="29"/>
      <c r="D133" s="7"/>
      <c r="E133" s="7"/>
    </row>
    <row r="134" ht="22.5" customHeight="1" spans="1:5">
      <c r="A134" s="7"/>
      <c r="B134" s="7"/>
      <c r="C134" s="29"/>
      <c r="D134" s="7"/>
      <c r="E134" s="7"/>
    </row>
    <row r="135" ht="22.5" customHeight="1" spans="1:5">
      <c r="A135" s="7"/>
      <c r="B135" s="7"/>
      <c r="C135" s="29"/>
      <c r="D135" s="7"/>
      <c r="E135" s="7"/>
    </row>
    <row r="136" ht="22.5" customHeight="1" spans="1:5">
      <c r="A136" s="7"/>
      <c r="B136" s="7"/>
      <c r="C136" s="29"/>
      <c r="D136" s="7"/>
      <c r="E136" s="7"/>
    </row>
    <row r="137" ht="22.5" customHeight="1" spans="1:5">
      <c r="A137" s="7"/>
      <c r="B137" s="7"/>
      <c r="C137" s="29"/>
      <c r="D137" s="7"/>
      <c r="E137" s="7"/>
    </row>
    <row r="138" ht="22.5" customHeight="1" spans="1:5">
      <c r="A138" s="7"/>
      <c r="B138" s="7"/>
      <c r="C138" s="29"/>
      <c r="D138" s="7"/>
      <c r="E138" s="7"/>
    </row>
    <row r="139" ht="22.5" customHeight="1" spans="1:5">
      <c r="A139" s="7"/>
      <c r="B139" s="7"/>
      <c r="C139" s="29"/>
      <c r="D139" s="7"/>
      <c r="E139" s="7"/>
    </row>
    <row r="140" ht="22.5" customHeight="1" spans="1:5">
      <c r="A140" s="7"/>
      <c r="B140" s="7"/>
      <c r="C140" s="29"/>
      <c r="D140" s="7"/>
      <c r="E140" s="7"/>
    </row>
    <row r="141" ht="22.5" customHeight="1" spans="1:5">
      <c r="A141" s="7"/>
      <c r="B141" s="7"/>
      <c r="C141" s="29"/>
      <c r="D141" s="7"/>
      <c r="E141" s="7"/>
    </row>
    <row r="142" ht="22.5" customHeight="1" spans="1:5">
      <c r="A142" s="7"/>
      <c r="B142" s="7"/>
      <c r="C142" s="29"/>
      <c r="D142" s="7"/>
      <c r="E142" s="7"/>
    </row>
    <row r="143" ht="22.5" customHeight="1" spans="1:5">
      <c r="A143" s="7"/>
      <c r="B143" s="7"/>
      <c r="C143" s="29"/>
      <c r="D143" s="7"/>
      <c r="E143" s="7"/>
    </row>
    <row r="144" ht="22.5" customHeight="1" spans="1:5">
      <c r="A144" s="7"/>
      <c r="B144" s="7"/>
      <c r="C144" s="29"/>
      <c r="D144" s="7"/>
      <c r="E144" s="7"/>
    </row>
    <row r="145" ht="22.5" customHeight="1" spans="1:5">
      <c r="A145" s="7"/>
      <c r="B145" s="7"/>
      <c r="C145" s="29"/>
      <c r="D145" s="7"/>
      <c r="E145" s="7"/>
    </row>
    <row r="146" ht="22.5" customHeight="1" spans="1:5">
      <c r="A146" s="7"/>
      <c r="B146" s="7"/>
      <c r="C146" s="29"/>
      <c r="D146" s="7"/>
      <c r="E146" s="7"/>
    </row>
    <row r="147" ht="22.5" customHeight="1" spans="1:5">
      <c r="A147" s="7"/>
      <c r="B147" s="7"/>
      <c r="C147" s="29"/>
      <c r="D147" s="7"/>
      <c r="E147" s="7"/>
    </row>
    <row r="148" ht="22.5" customHeight="1" spans="1:5">
      <c r="A148" s="7"/>
      <c r="B148" s="7"/>
      <c r="C148" s="29"/>
      <c r="D148" s="7"/>
      <c r="E148" s="7"/>
    </row>
    <row r="149" ht="22.5" customHeight="1" spans="1:5">
      <c r="A149" s="7"/>
      <c r="B149" s="7"/>
      <c r="C149" s="29"/>
      <c r="D149" s="7"/>
      <c r="E149" s="7"/>
    </row>
    <row r="150" ht="22.5" customHeight="1" spans="1:5">
      <c r="A150" s="7"/>
      <c r="B150" s="7"/>
      <c r="C150" s="29"/>
      <c r="D150" s="7"/>
      <c r="E150" s="7"/>
    </row>
    <row r="151" ht="22.5" customHeight="1" spans="1:5">
      <c r="A151" s="7"/>
      <c r="B151" s="7"/>
      <c r="C151" s="29"/>
      <c r="D151" s="7"/>
      <c r="E151" s="7"/>
    </row>
    <row r="152" ht="22.5" customHeight="1" spans="1:5">
      <c r="A152" s="7"/>
      <c r="B152" s="7"/>
      <c r="C152" s="29"/>
      <c r="D152" s="7"/>
      <c r="E152" s="7"/>
    </row>
    <row r="153" ht="22.5" customHeight="1" spans="1:5">
      <c r="A153" s="7"/>
      <c r="B153" s="7"/>
      <c r="C153" s="29"/>
      <c r="D153" s="7"/>
      <c r="E153" s="7"/>
    </row>
    <row r="154" ht="22.5" customHeight="1" spans="1:5">
      <c r="A154" s="7"/>
      <c r="B154" s="7"/>
      <c r="C154" s="29"/>
      <c r="D154" s="7"/>
      <c r="E154" s="7"/>
    </row>
    <row r="155" ht="22.5" customHeight="1" spans="1:5">
      <c r="A155" s="7"/>
      <c r="B155" s="7"/>
      <c r="C155" s="29"/>
      <c r="D155" s="7"/>
      <c r="E155" s="7"/>
    </row>
    <row r="156" ht="22.5" customHeight="1" spans="1:5">
      <c r="A156" s="7"/>
      <c r="B156" s="7"/>
      <c r="C156" s="29"/>
      <c r="D156" s="7"/>
      <c r="E156" s="7"/>
    </row>
    <row r="157" ht="22.5" customHeight="1" spans="1:5">
      <c r="A157" s="7"/>
      <c r="B157" s="7"/>
      <c r="C157" s="29"/>
      <c r="D157" s="7"/>
      <c r="E157" s="7"/>
    </row>
    <row r="158" ht="22.5" customHeight="1" spans="1:5">
      <c r="A158" s="7"/>
      <c r="B158" s="7"/>
      <c r="C158" s="29"/>
      <c r="D158" s="7"/>
      <c r="E158" s="7"/>
    </row>
    <row r="159" ht="22.5" customHeight="1" spans="1:5">
      <c r="A159" s="7"/>
      <c r="B159" s="7"/>
      <c r="C159" s="29"/>
      <c r="D159" s="7"/>
      <c r="E159" s="7"/>
    </row>
    <row r="160" ht="22.5" customHeight="1" spans="1:5">
      <c r="A160" s="7"/>
      <c r="B160" s="7"/>
      <c r="C160" s="29"/>
      <c r="D160" s="7"/>
      <c r="E160" s="7"/>
    </row>
    <row r="161" ht="22.5" customHeight="1" spans="1:5">
      <c r="A161" s="7"/>
      <c r="B161" s="7"/>
      <c r="C161" s="29"/>
      <c r="D161" s="7"/>
      <c r="E161" s="7"/>
    </row>
    <row r="162" ht="22.5" customHeight="1" spans="1:5">
      <c r="A162" s="7"/>
      <c r="B162" s="7"/>
      <c r="C162" s="29"/>
      <c r="D162" s="7"/>
      <c r="E162" s="7"/>
    </row>
    <row r="163" ht="22.5" customHeight="1" spans="1:5">
      <c r="A163" s="7"/>
      <c r="B163" s="7"/>
      <c r="C163" s="29"/>
      <c r="D163" s="7"/>
      <c r="E163" s="7"/>
    </row>
    <row r="164" ht="22.5" customHeight="1" spans="1:5">
      <c r="A164" s="7"/>
      <c r="B164" s="7"/>
      <c r="C164" s="29"/>
      <c r="D164" s="7"/>
      <c r="E164" s="7"/>
    </row>
    <row r="165" ht="22.5" customHeight="1" spans="1:5">
      <c r="A165" s="7"/>
      <c r="B165" s="7"/>
      <c r="C165" s="29"/>
      <c r="D165" s="7"/>
      <c r="E165" s="7"/>
    </row>
    <row r="166" ht="22.5" customHeight="1" spans="1:5">
      <c r="A166" s="7"/>
      <c r="B166" s="7"/>
      <c r="C166" s="29"/>
      <c r="D166" s="7"/>
      <c r="E166" s="7"/>
    </row>
    <row r="167" ht="22.5" customHeight="1" spans="1:5">
      <c r="A167" s="7"/>
      <c r="B167" s="7"/>
      <c r="C167" s="29"/>
      <c r="D167" s="7"/>
      <c r="E167" s="7"/>
    </row>
    <row r="168" ht="22.5" customHeight="1" spans="1:5">
      <c r="A168" s="7"/>
      <c r="B168" s="7"/>
      <c r="C168" s="29"/>
      <c r="D168" s="7"/>
      <c r="E168" s="7"/>
    </row>
    <row r="169" ht="22.5" customHeight="1" spans="1:5">
      <c r="A169" s="7"/>
      <c r="B169" s="7"/>
      <c r="C169" s="29"/>
      <c r="D169" s="7"/>
      <c r="E169" s="7"/>
    </row>
    <row r="170" ht="22.5" customHeight="1" spans="1:5">
      <c r="A170" s="7"/>
      <c r="B170" s="7"/>
      <c r="C170" s="29"/>
      <c r="D170" s="7"/>
      <c r="E170" s="7"/>
    </row>
    <row r="171" ht="22.5" customHeight="1" spans="1:5">
      <c r="A171" s="7"/>
      <c r="B171" s="7"/>
      <c r="C171" s="29"/>
      <c r="D171" s="7"/>
      <c r="E171" s="7"/>
    </row>
    <row r="172" ht="22.5" customHeight="1" spans="1:5">
      <c r="A172" s="7"/>
      <c r="B172" s="7"/>
      <c r="C172" s="29"/>
      <c r="D172" s="7"/>
      <c r="E172" s="7"/>
    </row>
    <row r="173" ht="22.5" customHeight="1" spans="1:5">
      <c r="A173" s="7"/>
      <c r="B173" s="7"/>
      <c r="C173" s="29"/>
      <c r="D173" s="7"/>
      <c r="E173" s="7"/>
    </row>
    <row r="174" ht="22.5" customHeight="1" spans="1:5">
      <c r="A174" s="7"/>
      <c r="B174" s="7"/>
      <c r="C174" s="29"/>
      <c r="D174" s="7"/>
      <c r="E174" s="7"/>
    </row>
    <row r="175" ht="22.5" customHeight="1" spans="1:5">
      <c r="A175" s="7"/>
      <c r="B175" s="7"/>
      <c r="C175" s="29"/>
      <c r="D175" s="7"/>
      <c r="E175" s="7"/>
    </row>
    <row r="176" ht="22.5" customHeight="1" spans="1:5">
      <c r="A176" s="7"/>
      <c r="B176" s="7"/>
      <c r="C176" s="29"/>
      <c r="D176" s="7"/>
      <c r="E176" s="7"/>
    </row>
    <row r="177" ht="22.5" customHeight="1" spans="1:5">
      <c r="A177" s="7"/>
      <c r="B177" s="7"/>
      <c r="C177" s="29"/>
      <c r="D177" s="7"/>
      <c r="E177" s="7"/>
    </row>
    <row r="178" ht="22.5" customHeight="1" spans="1:5">
      <c r="A178" s="7"/>
      <c r="B178" s="7"/>
      <c r="C178" s="29"/>
      <c r="D178" s="7"/>
      <c r="E178" s="7"/>
    </row>
    <row r="179" ht="22.5" customHeight="1" spans="1:5">
      <c r="A179" s="7"/>
      <c r="B179" s="7"/>
      <c r="C179" s="29"/>
      <c r="D179" s="7"/>
      <c r="E179" s="7"/>
    </row>
    <row r="180" ht="22.5" customHeight="1" spans="1:5">
      <c r="A180" s="7"/>
      <c r="B180" s="7"/>
      <c r="C180" s="29"/>
      <c r="D180" s="7"/>
      <c r="E180" s="7"/>
    </row>
    <row r="181" ht="22.5" customHeight="1" spans="1:5">
      <c r="A181" s="7"/>
      <c r="B181" s="7"/>
      <c r="C181" s="29"/>
      <c r="D181" s="7"/>
      <c r="E181" s="7"/>
    </row>
    <row r="182" ht="22.5" customHeight="1" spans="1:5">
      <c r="A182" s="7"/>
      <c r="B182" s="7"/>
      <c r="C182" s="29"/>
      <c r="D182" s="7"/>
      <c r="E182" s="7"/>
    </row>
    <row r="183" ht="22.5" customHeight="1" spans="1:5">
      <c r="A183" s="7"/>
      <c r="B183" s="7"/>
      <c r="C183" s="29"/>
      <c r="D183" s="7"/>
      <c r="E183" s="7"/>
    </row>
    <row r="184" ht="22.5" customHeight="1" spans="1:5">
      <c r="A184" s="7"/>
      <c r="B184" s="7"/>
      <c r="C184" s="29"/>
      <c r="D184" s="7"/>
      <c r="E184" s="7"/>
    </row>
    <row r="185" ht="22.5" customHeight="1" spans="1:5">
      <c r="A185" s="7"/>
      <c r="B185" s="7"/>
      <c r="C185" s="29"/>
      <c r="D185" s="7"/>
      <c r="E185" s="7"/>
    </row>
    <row r="186" ht="22.5" customHeight="1" spans="1:5">
      <c r="A186" s="7"/>
      <c r="B186" s="7"/>
      <c r="C186" s="29"/>
      <c r="D186" s="7"/>
      <c r="E186" s="7"/>
    </row>
    <row r="187" ht="22.5" customHeight="1" spans="1:5">
      <c r="A187" s="7"/>
      <c r="B187" s="7"/>
      <c r="C187" s="29"/>
      <c r="D187" s="7"/>
      <c r="E187" s="7"/>
    </row>
    <row r="188" ht="22.5" customHeight="1" spans="1:5">
      <c r="A188" s="7"/>
      <c r="B188" s="7"/>
      <c r="C188" s="29"/>
      <c r="D188" s="7"/>
      <c r="E188" s="7"/>
    </row>
    <row r="189" ht="22.5" customHeight="1" spans="1:5">
      <c r="A189" s="7"/>
      <c r="B189" s="7"/>
      <c r="C189" s="29"/>
      <c r="D189" s="7"/>
      <c r="E189" s="7"/>
    </row>
    <row r="190" ht="22.5" customHeight="1" spans="1:5">
      <c r="A190" s="7"/>
      <c r="B190" s="7"/>
      <c r="C190" s="29"/>
      <c r="D190" s="7"/>
      <c r="E190" s="7"/>
    </row>
    <row r="191" ht="22.5" customHeight="1" spans="1:5">
      <c r="A191" s="7"/>
      <c r="B191" s="7"/>
      <c r="C191" s="29"/>
      <c r="D191" s="7"/>
      <c r="E191" s="7"/>
    </row>
    <row r="192" ht="22.5" customHeight="1" spans="1:5">
      <c r="A192" s="7"/>
      <c r="B192" s="7"/>
      <c r="C192" s="29"/>
      <c r="D192" s="7"/>
      <c r="E192" s="7"/>
    </row>
    <row r="193" ht="22.5" customHeight="1" spans="1:5">
      <c r="A193" s="7"/>
      <c r="B193" s="7"/>
      <c r="C193" s="29"/>
      <c r="D193" s="7"/>
      <c r="E193" s="7"/>
    </row>
    <row r="194" ht="22.5" customHeight="1" spans="1:5">
      <c r="A194" s="7"/>
      <c r="B194" s="7"/>
      <c r="C194" s="29"/>
      <c r="D194" s="7"/>
      <c r="E194" s="7"/>
    </row>
    <row r="195" ht="22.5" customHeight="1" spans="1:5">
      <c r="A195" s="7"/>
      <c r="B195" s="7"/>
      <c r="C195" s="29"/>
      <c r="D195" s="7"/>
      <c r="E195" s="7"/>
    </row>
    <row r="196" ht="22.5" customHeight="1" spans="1:5">
      <c r="A196" s="7"/>
      <c r="B196" s="7"/>
      <c r="C196" s="29"/>
      <c r="D196" s="7"/>
      <c r="E196" s="7"/>
    </row>
    <row r="197" ht="22.5" customHeight="1" spans="1:5">
      <c r="A197" s="7"/>
      <c r="B197" s="7"/>
      <c r="C197" s="29"/>
      <c r="D197" s="7"/>
      <c r="E197" s="7"/>
    </row>
    <row r="198" ht="22.5" customHeight="1" spans="1:5">
      <c r="A198" s="7"/>
      <c r="B198" s="7"/>
      <c r="C198" s="29"/>
      <c r="D198" s="7"/>
      <c r="E198" s="7"/>
    </row>
    <row r="199" ht="22.5" customHeight="1" spans="1:5">
      <c r="A199" s="7"/>
      <c r="B199" s="7"/>
      <c r="C199" s="29"/>
      <c r="D199" s="7"/>
      <c r="E199" s="7"/>
    </row>
    <row r="200" ht="22.5" customHeight="1" spans="1:5">
      <c r="A200" s="7"/>
      <c r="B200" s="7"/>
      <c r="C200" s="29"/>
      <c r="D200" s="7"/>
      <c r="E200" s="7"/>
    </row>
    <row r="201" ht="22.5" customHeight="1" spans="1:5">
      <c r="A201" s="7"/>
      <c r="B201" s="7"/>
      <c r="C201" s="29"/>
      <c r="D201" s="7"/>
      <c r="E201" s="7"/>
    </row>
    <row r="202" ht="22.5" customHeight="1" spans="1:5">
      <c r="A202" s="7"/>
      <c r="B202" s="7"/>
      <c r="C202" s="29"/>
      <c r="D202" s="7"/>
      <c r="E202" s="7"/>
    </row>
    <row r="203" ht="22.5" customHeight="1" spans="1:5">
      <c r="A203" s="7"/>
      <c r="B203" s="7"/>
      <c r="C203" s="29"/>
      <c r="D203" s="7"/>
      <c r="E203" s="7"/>
    </row>
    <row r="204" ht="22.5" customHeight="1" spans="1:5">
      <c r="A204" s="7"/>
      <c r="B204" s="7"/>
      <c r="C204" s="29"/>
      <c r="D204" s="7"/>
      <c r="E204" s="7"/>
    </row>
    <row r="205" ht="22.5" customHeight="1" spans="1:5">
      <c r="A205" s="7"/>
      <c r="B205" s="7"/>
      <c r="C205" s="29"/>
      <c r="D205" s="7"/>
      <c r="E205" s="7"/>
    </row>
    <row r="206" ht="22.5" customHeight="1" spans="1:5">
      <c r="A206" s="7"/>
      <c r="B206" s="7"/>
      <c r="C206" s="29"/>
      <c r="D206" s="7"/>
      <c r="E206" s="7"/>
    </row>
    <row r="207" ht="22.5" customHeight="1" spans="1:5">
      <c r="A207" s="7"/>
      <c r="B207" s="7"/>
      <c r="C207" s="29"/>
      <c r="D207" s="7"/>
      <c r="E207" s="7"/>
    </row>
    <row r="208" ht="22.5" customHeight="1" spans="1:5">
      <c r="A208" s="7"/>
      <c r="B208" s="7"/>
      <c r="C208" s="29"/>
      <c r="D208" s="7"/>
      <c r="E208" s="7"/>
    </row>
    <row r="209" ht="22.5" customHeight="1" spans="1:5">
      <c r="A209" s="7"/>
      <c r="B209" s="7"/>
      <c r="C209" s="29"/>
      <c r="D209" s="7"/>
      <c r="E209" s="7"/>
    </row>
    <row r="210" ht="22.5" customHeight="1" spans="1:5">
      <c r="A210" s="7"/>
      <c r="B210" s="7"/>
      <c r="C210" s="29"/>
      <c r="D210" s="7"/>
      <c r="E210" s="7"/>
    </row>
    <row r="211" ht="22.5" customHeight="1" spans="1:5">
      <c r="A211" s="7"/>
      <c r="B211" s="7"/>
      <c r="C211" s="29"/>
      <c r="D211" s="7"/>
      <c r="E211" s="7"/>
    </row>
    <row r="212" ht="22.5" customHeight="1" spans="1:5">
      <c r="A212" s="7"/>
      <c r="B212" s="7"/>
      <c r="C212" s="29"/>
      <c r="D212" s="7"/>
      <c r="E212" s="7"/>
    </row>
    <row r="213" ht="22.5" customHeight="1" spans="1:5">
      <c r="A213" s="7"/>
      <c r="B213" s="7"/>
      <c r="C213" s="29"/>
      <c r="D213" s="7"/>
      <c r="E213" s="7"/>
    </row>
    <row r="214" ht="22.5" customHeight="1" spans="1:5">
      <c r="A214" s="7"/>
      <c r="B214" s="7"/>
      <c r="C214" s="29"/>
      <c r="D214" s="7"/>
      <c r="E214" s="7"/>
    </row>
    <row r="215" ht="22.5" customHeight="1" spans="1:5">
      <c r="A215" s="7"/>
      <c r="B215" s="7"/>
      <c r="C215" s="29"/>
      <c r="D215" s="7"/>
      <c r="E215" s="7"/>
    </row>
    <row r="216" ht="22.5" customHeight="1" spans="1:5">
      <c r="A216" s="7"/>
      <c r="B216" s="7"/>
      <c r="C216" s="29"/>
      <c r="D216" s="7"/>
      <c r="E216" s="7"/>
    </row>
    <row r="217" ht="22.5" customHeight="1" spans="1:5">
      <c r="A217" s="7"/>
      <c r="B217" s="7"/>
      <c r="C217" s="29"/>
      <c r="D217" s="7"/>
      <c r="E217" s="7"/>
    </row>
    <row r="218" ht="22.5" customHeight="1" spans="1:5">
      <c r="A218" s="7"/>
      <c r="B218" s="7"/>
      <c r="C218" s="29"/>
      <c r="D218" s="7"/>
      <c r="E218" s="7"/>
    </row>
    <row r="219" ht="22.5" customHeight="1" spans="1:5">
      <c r="A219" s="7"/>
      <c r="B219" s="7"/>
      <c r="C219" s="29"/>
      <c r="D219" s="7"/>
      <c r="E219" s="7"/>
    </row>
    <row r="220" ht="22.5" customHeight="1" spans="1:5">
      <c r="A220" s="7"/>
      <c r="B220" s="7"/>
      <c r="C220" s="29"/>
      <c r="D220" s="7"/>
      <c r="E220" s="7"/>
    </row>
    <row r="221" ht="22.5" customHeight="1" spans="1:5">
      <c r="A221" s="7"/>
      <c r="B221" s="7"/>
      <c r="C221" s="29"/>
      <c r="D221" s="7"/>
      <c r="E221" s="7"/>
    </row>
    <row r="222" ht="22.5" customHeight="1" spans="1:5">
      <c r="A222" s="7"/>
      <c r="B222" s="7"/>
      <c r="C222" s="29"/>
      <c r="D222" s="7"/>
      <c r="E222" s="7"/>
    </row>
    <row r="223" ht="22.5" customHeight="1" spans="1:5">
      <c r="A223" s="7"/>
      <c r="B223" s="7"/>
      <c r="C223" s="29"/>
      <c r="D223" s="7"/>
      <c r="E223" s="7"/>
    </row>
    <row r="224" ht="22.5" customHeight="1" spans="1:5">
      <c r="A224" s="7"/>
      <c r="B224" s="7"/>
      <c r="C224" s="29"/>
      <c r="D224" s="7"/>
      <c r="E224" s="7"/>
    </row>
    <row r="225" ht="22.5" customHeight="1" spans="1:5">
      <c r="A225" s="7"/>
      <c r="B225" s="7"/>
      <c r="C225" s="29"/>
      <c r="D225" s="7"/>
      <c r="E225" s="7"/>
    </row>
    <row r="226" ht="22.5" customHeight="1" spans="1:5">
      <c r="A226" s="7"/>
      <c r="B226" s="7"/>
      <c r="C226" s="29"/>
      <c r="D226" s="7"/>
      <c r="E226" s="7"/>
    </row>
    <row r="227" ht="22.5" customHeight="1" spans="1:5">
      <c r="A227" s="7"/>
      <c r="B227" s="7"/>
      <c r="C227" s="29"/>
      <c r="D227" s="7"/>
      <c r="E227" s="7"/>
    </row>
    <row r="228" ht="22.5" customHeight="1" spans="1:5">
      <c r="A228" s="7"/>
      <c r="B228" s="7"/>
      <c r="C228" s="29"/>
      <c r="D228" s="7"/>
      <c r="E228" s="7"/>
    </row>
    <row r="229" ht="22.5" customHeight="1" spans="1:5">
      <c r="A229" s="7"/>
      <c r="B229" s="7"/>
      <c r="C229" s="29"/>
      <c r="D229" s="7"/>
      <c r="E229" s="7"/>
    </row>
    <row r="230" ht="22.5" customHeight="1" spans="1:5">
      <c r="A230" s="7"/>
      <c r="B230" s="7"/>
      <c r="C230" s="29"/>
      <c r="D230" s="7"/>
      <c r="E230" s="7"/>
    </row>
    <row r="231" ht="22.5" customHeight="1" spans="1:5">
      <c r="A231" s="7"/>
      <c r="B231" s="7"/>
      <c r="C231" s="29"/>
      <c r="D231" s="7"/>
      <c r="E231" s="7"/>
    </row>
    <row r="232" ht="22.5" customHeight="1" spans="1:5">
      <c r="A232" s="7"/>
      <c r="B232" s="7"/>
      <c r="C232" s="29"/>
      <c r="D232" s="7"/>
      <c r="E232" s="7"/>
    </row>
    <row r="233" ht="22.5" customHeight="1" spans="1:5">
      <c r="A233" s="7"/>
      <c r="B233" s="7"/>
      <c r="C233" s="29"/>
      <c r="D233" s="7"/>
      <c r="E233" s="7"/>
    </row>
    <row r="234" ht="22.5" customHeight="1" spans="1:5">
      <c r="A234" s="7"/>
      <c r="B234" s="7"/>
      <c r="C234" s="29"/>
      <c r="D234" s="7"/>
      <c r="E234" s="7"/>
    </row>
    <row r="235" ht="22.5" customHeight="1" spans="1:5">
      <c r="A235" s="7"/>
      <c r="B235" s="7"/>
      <c r="C235" s="29"/>
      <c r="D235" s="7"/>
      <c r="E235" s="7"/>
    </row>
    <row r="236" ht="22.5" customHeight="1" spans="1:5">
      <c r="A236" s="7"/>
      <c r="B236" s="7"/>
      <c r="C236" s="29"/>
      <c r="D236" s="7"/>
      <c r="E236" s="7"/>
    </row>
    <row r="237" ht="22.5" customHeight="1" spans="1:5">
      <c r="A237" s="7"/>
      <c r="B237" s="7"/>
      <c r="C237" s="29"/>
      <c r="D237" s="7"/>
      <c r="E237" s="7"/>
    </row>
    <row r="238" ht="22.5" customHeight="1" spans="1:5">
      <c r="A238" s="7"/>
      <c r="B238" s="7"/>
      <c r="C238" s="29"/>
      <c r="D238" s="7"/>
      <c r="E238" s="7"/>
    </row>
    <row r="239" ht="22.5" customHeight="1" spans="1:5">
      <c r="A239" s="7"/>
      <c r="B239" s="7"/>
      <c r="C239" s="29"/>
      <c r="D239" s="7"/>
      <c r="E239" s="7"/>
    </row>
    <row r="240" ht="22.5" customHeight="1" spans="1:5">
      <c r="A240" s="7"/>
      <c r="B240" s="7"/>
      <c r="C240" s="29"/>
      <c r="D240" s="7"/>
      <c r="E240" s="7"/>
    </row>
    <row r="241" ht="22.5" customHeight="1" spans="1:5">
      <c r="A241" s="7"/>
      <c r="B241" s="7"/>
      <c r="C241" s="29"/>
      <c r="D241" s="7"/>
      <c r="E241" s="7"/>
    </row>
    <row r="242" ht="22.5" customHeight="1" spans="1:5">
      <c r="A242" s="7"/>
      <c r="B242" s="7"/>
      <c r="C242" s="29"/>
      <c r="D242" s="7"/>
      <c r="E242" s="7"/>
    </row>
    <row r="243" ht="22.5" customHeight="1" spans="1:5">
      <c r="A243" s="7"/>
      <c r="B243" s="7"/>
      <c r="C243" s="29"/>
      <c r="D243" s="7"/>
      <c r="E243" s="7"/>
    </row>
    <row r="244" ht="22.5" customHeight="1" spans="1:5">
      <c r="A244" s="7"/>
      <c r="B244" s="7"/>
      <c r="C244" s="29"/>
      <c r="D244" s="7"/>
      <c r="E244" s="7"/>
    </row>
    <row r="245" ht="22.5" customHeight="1" spans="1:5">
      <c r="A245" s="7"/>
      <c r="B245" s="7"/>
      <c r="C245" s="29"/>
      <c r="D245" s="7"/>
      <c r="E245" s="7"/>
    </row>
    <row r="246" ht="22.5" customHeight="1" spans="1:5">
      <c r="A246" s="7"/>
      <c r="B246" s="7"/>
      <c r="C246" s="29"/>
      <c r="D246" s="7"/>
      <c r="E246" s="7"/>
    </row>
    <row r="247" ht="22.5" customHeight="1" spans="1:5">
      <c r="A247" s="7"/>
      <c r="B247" s="7"/>
      <c r="C247" s="29"/>
      <c r="D247" s="7"/>
      <c r="E247" s="7"/>
    </row>
    <row r="248" ht="22.5" customHeight="1" spans="1:5">
      <c r="A248" s="7"/>
      <c r="B248" s="7"/>
      <c r="C248" s="29"/>
      <c r="D248" s="7"/>
      <c r="E248" s="7"/>
    </row>
    <row r="249" ht="22.5" customHeight="1" spans="1:5">
      <c r="A249" s="7"/>
      <c r="B249" s="7"/>
      <c r="C249" s="29"/>
      <c r="D249" s="7"/>
      <c r="E249" s="7"/>
    </row>
    <row r="250" ht="22.5" customHeight="1" spans="1:5">
      <c r="A250" s="7"/>
      <c r="B250" s="7"/>
      <c r="C250" s="29"/>
      <c r="D250" s="7"/>
      <c r="E250" s="7"/>
    </row>
    <row r="251" ht="22.5" customHeight="1" spans="1:5">
      <c r="A251" s="7"/>
      <c r="B251" s="7"/>
      <c r="C251" s="29"/>
      <c r="D251" s="7"/>
      <c r="E251" s="7"/>
    </row>
    <row r="252" ht="22.5" customHeight="1" spans="1:5">
      <c r="A252" s="7"/>
      <c r="B252" s="7"/>
      <c r="C252" s="29"/>
      <c r="D252" s="7"/>
      <c r="E252" s="7"/>
    </row>
    <row r="253" ht="22.5" customHeight="1" spans="1:5">
      <c r="A253" s="7"/>
      <c r="B253" s="7"/>
      <c r="C253" s="29"/>
      <c r="D253" s="7"/>
      <c r="E253" s="7"/>
    </row>
    <row r="254" ht="22.5" customHeight="1" spans="1:5">
      <c r="A254" s="7"/>
      <c r="B254" s="7"/>
      <c r="C254" s="29"/>
      <c r="D254" s="7"/>
      <c r="E254" s="7"/>
    </row>
    <row r="255" ht="22.5" customHeight="1" spans="1:5">
      <c r="A255" s="7"/>
      <c r="B255" s="7"/>
      <c r="C255" s="29"/>
      <c r="D255" s="7"/>
      <c r="E255" s="7"/>
    </row>
    <row r="256" ht="22.5" customHeight="1" spans="1:5">
      <c r="A256" s="7"/>
      <c r="B256" s="7"/>
      <c r="C256" s="29"/>
      <c r="D256" s="7"/>
      <c r="E256" s="7"/>
    </row>
    <row r="257" ht="22.5" customHeight="1" spans="1:5">
      <c r="A257" s="7"/>
      <c r="B257" s="7"/>
      <c r="C257" s="29"/>
      <c r="D257" s="7"/>
      <c r="E257" s="7"/>
    </row>
    <row r="258" ht="22.5" customHeight="1" spans="1:5">
      <c r="A258" s="7"/>
      <c r="B258" s="7"/>
      <c r="C258" s="29"/>
      <c r="D258" s="7"/>
      <c r="E258" s="7"/>
    </row>
    <row r="259" ht="22.5" customHeight="1" spans="1:5">
      <c r="A259" s="7"/>
      <c r="B259" s="7"/>
      <c r="C259" s="29"/>
      <c r="D259" s="7"/>
      <c r="E259" s="7"/>
    </row>
    <row r="260" ht="22.5" customHeight="1" spans="1:5">
      <c r="A260" s="7"/>
      <c r="B260" s="7"/>
      <c r="C260" s="29"/>
      <c r="D260" s="7"/>
      <c r="E260" s="7"/>
    </row>
    <row r="261" ht="22.5" customHeight="1" spans="1:5">
      <c r="A261" s="7"/>
      <c r="B261" s="7"/>
      <c r="C261" s="29"/>
      <c r="D261" s="7"/>
      <c r="E261" s="7"/>
    </row>
    <row r="262" ht="22.5" customHeight="1" spans="1:5">
      <c r="A262" s="7"/>
      <c r="B262" s="7"/>
      <c r="C262" s="29"/>
      <c r="D262" s="7"/>
      <c r="E262" s="7"/>
    </row>
    <row r="263" ht="22.5" customHeight="1" spans="1:5">
      <c r="A263" s="7"/>
      <c r="B263" s="7"/>
      <c r="C263" s="29"/>
      <c r="D263" s="7"/>
      <c r="E263" s="7"/>
    </row>
    <row r="264" ht="22.5" customHeight="1" spans="1:5">
      <c r="A264" s="7"/>
      <c r="B264" s="7"/>
      <c r="C264" s="29"/>
      <c r="D264" s="7"/>
      <c r="E264" s="7"/>
    </row>
    <row r="265" ht="22.5" customHeight="1" spans="1:5">
      <c r="A265" s="7"/>
      <c r="B265" s="7"/>
      <c r="C265" s="29"/>
      <c r="D265" s="7"/>
      <c r="E265" s="7"/>
    </row>
    <row r="266" ht="22.5" customHeight="1" spans="1:5">
      <c r="A266" s="7"/>
      <c r="B266" s="7"/>
      <c r="C266" s="29"/>
      <c r="D266" s="7"/>
      <c r="E266" s="7"/>
    </row>
    <row r="267" ht="22.5" customHeight="1" spans="1:5">
      <c r="A267" s="7"/>
      <c r="B267" s="7"/>
      <c r="C267" s="29"/>
      <c r="D267" s="7"/>
      <c r="E267" s="7"/>
    </row>
    <row r="268" ht="22.5" customHeight="1" spans="1:5">
      <c r="A268" s="7"/>
      <c r="B268" s="7"/>
      <c r="C268" s="29"/>
      <c r="D268" s="7"/>
      <c r="E268" s="7"/>
    </row>
    <row r="269" ht="22.5" customHeight="1" spans="1:5">
      <c r="A269" s="7"/>
      <c r="B269" s="7"/>
      <c r="C269" s="29"/>
      <c r="D269" s="7"/>
      <c r="E269" s="7"/>
    </row>
    <row r="270" ht="22.5" customHeight="1" spans="1:5">
      <c r="A270" s="7"/>
      <c r="B270" s="7"/>
      <c r="C270" s="29"/>
      <c r="D270" s="7"/>
      <c r="E270" s="7"/>
    </row>
    <row r="271" ht="22.5" customHeight="1" spans="1:5">
      <c r="A271" s="7"/>
      <c r="B271" s="7"/>
      <c r="C271" s="29"/>
      <c r="D271" s="7"/>
      <c r="E271" s="7"/>
    </row>
    <row r="272" ht="22.5" customHeight="1" spans="1:5">
      <c r="A272" s="7"/>
      <c r="B272" s="7"/>
      <c r="C272" s="29"/>
      <c r="D272" s="7"/>
      <c r="E272" s="7"/>
    </row>
    <row r="273" ht="22.5" customHeight="1" spans="1:5">
      <c r="A273" s="7"/>
      <c r="B273" s="7"/>
      <c r="C273" s="29"/>
      <c r="D273" s="7"/>
      <c r="E273" s="7"/>
    </row>
    <row r="274" ht="22.5" customHeight="1" spans="1:5">
      <c r="A274" s="7"/>
      <c r="B274" s="7"/>
      <c r="C274" s="29"/>
      <c r="D274" s="7"/>
      <c r="E274" s="7"/>
    </row>
    <row r="275" ht="22.5" customHeight="1" spans="1:5">
      <c r="A275" s="7"/>
      <c r="B275" s="7"/>
      <c r="C275" s="29"/>
      <c r="D275" s="7"/>
      <c r="E275" s="7"/>
    </row>
    <row r="276" ht="22.5" customHeight="1" spans="1:5">
      <c r="A276" s="7"/>
      <c r="B276" s="7"/>
      <c r="C276" s="29"/>
      <c r="D276" s="7"/>
      <c r="E276" s="7"/>
    </row>
    <row r="277" ht="22.5" customHeight="1" spans="1:5">
      <c r="A277" s="7"/>
      <c r="B277" s="7"/>
      <c r="C277" s="29"/>
      <c r="D277" s="7"/>
      <c r="E277" s="7"/>
    </row>
    <row r="278" ht="22.5" customHeight="1" spans="1:5">
      <c r="A278" s="7"/>
      <c r="B278" s="7"/>
      <c r="C278" s="29"/>
      <c r="D278" s="7"/>
      <c r="E278" s="7"/>
    </row>
    <row r="279" ht="22.5" customHeight="1" spans="1:5">
      <c r="A279" s="7"/>
      <c r="B279" s="7"/>
      <c r="C279" s="29"/>
      <c r="D279" s="7"/>
      <c r="E279" s="7"/>
    </row>
    <row r="280" ht="22.5" customHeight="1" spans="1:5">
      <c r="A280" s="7"/>
      <c r="B280" s="7"/>
      <c r="C280" s="29"/>
      <c r="D280" s="7"/>
      <c r="E280" s="7"/>
    </row>
    <row r="281" ht="22.5" customHeight="1" spans="1:5">
      <c r="A281" s="7"/>
      <c r="B281" s="7"/>
      <c r="C281" s="29"/>
      <c r="D281" s="7"/>
      <c r="E281" s="7"/>
    </row>
    <row r="282" ht="22.5" customHeight="1" spans="1:5">
      <c r="A282" s="7"/>
      <c r="B282" s="7"/>
      <c r="C282" s="29"/>
      <c r="D282" s="7"/>
      <c r="E282" s="7"/>
    </row>
    <row r="283" ht="22.5" customHeight="1" spans="1:5">
      <c r="A283" s="7"/>
      <c r="B283" s="7"/>
      <c r="C283" s="29"/>
      <c r="D283" s="7"/>
      <c r="E283" s="7"/>
    </row>
    <row r="284" ht="22.5" customHeight="1" spans="1:5">
      <c r="A284" s="7"/>
      <c r="B284" s="7"/>
      <c r="C284" s="29"/>
      <c r="D284" s="7"/>
      <c r="E284" s="7"/>
    </row>
    <row r="285" ht="22.5" customHeight="1" spans="1:5">
      <c r="A285" s="7"/>
      <c r="B285" s="7"/>
      <c r="C285" s="29"/>
      <c r="D285" s="7"/>
      <c r="E285" s="7"/>
    </row>
    <row r="286" ht="22.5" customHeight="1" spans="1:5">
      <c r="A286" s="7"/>
      <c r="B286" s="7"/>
      <c r="C286" s="29"/>
      <c r="D286" s="7"/>
      <c r="E286" s="7"/>
    </row>
    <row r="287" ht="22.5" customHeight="1" spans="1:5">
      <c r="A287" s="7"/>
      <c r="B287" s="7"/>
      <c r="C287" s="29"/>
      <c r="D287" s="7"/>
      <c r="E287" s="7"/>
    </row>
    <row r="288" ht="22.5" customHeight="1" spans="1:5">
      <c r="A288" s="7"/>
      <c r="B288" s="7"/>
      <c r="C288" s="29"/>
      <c r="D288" s="7"/>
      <c r="E288" s="7"/>
    </row>
    <row r="289" ht="22.5" customHeight="1" spans="1:5">
      <c r="A289" s="7"/>
      <c r="B289" s="7"/>
      <c r="C289" s="29"/>
      <c r="D289" s="7"/>
      <c r="E289" s="7"/>
    </row>
    <row r="290" ht="22.5" customHeight="1" spans="1:5">
      <c r="A290" s="7"/>
      <c r="B290" s="7"/>
      <c r="C290" s="29"/>
      <c r="D290" s="7"/>
      <c r="E290" s="7"/>
    </row>
    <row r="291" ht="22.5" customHeight="1" spans="1:5">
      <c r="A291" s="7"/>
      <c r="B291" s="7"/>
      <c r="C291" s="29"/>
      <c r="D291" s="7"/>
      <c r="E291" s="7"/>
    </row>
    <row r="292" ht="22.5" customHeight="1" spans="1:5">
      <c r="A292" s="7"/>
      <c r="B292" s="7"/>
      <c r="C292" s="29"/>
      <c r="D292" s="7"/>
      <c r="E292" s="7"/>
    </row>
    <row r="293" ht="22.5" customHeight="1" spans="1:5">
      <c r="A293" s="7"/>
      <c r="B293" s="7"/>
      <c r="C293" s="29"/>
      <c r="D293" s="7"/>
      <c r="E293" s="7"/>
    </row>
    <row r="294" ht="22.5" customHeight="1" spans="1:5">
      <c r="A294" s="7"/>
      <c r="B294" s="7"/>
      <c r="C294" s="29"/>
      <c r="D294" s="7"/>
      <c r="E294" s="7"/>
    </row>
    <row r="295" ht="22.5" customHeight="1" spans="1:5">
      <c r="A295" s="7"/>
      <c r="B295" s="7"/>
      <c r="C295" s="29"/>
      <c r="D295" s="7"/>
      <c r="E295" s="7"/>
    </row>
    <row r="296" ht="22.5" customHeight="1" spans="1:5">
      <c r="A296" s="7"/>
      <c r="B296" s="7"/>
      <c r="C296" s="29"/>
      <c r="D296" s="7"/>
      <c r="E296" s="7"/>
    </row>
    <row r="297" ht="22.5" customHeight="1" spans="1:5">
      <c r="A297" s="7"/>
      <c r="B297" s="7"/>
      <c r="C297" s="29"/>
      <c r="D297" s="7"/>
      <c r="E297" s="7"/>
    </row>
    <row r="298" ht="22.5" customHeight="1" spans="1:5">
      <c r="A298" s="7"/>
      <c r="B298" s="7"/>
      <c r="C298" s="29"/>
      <c r="D298" s="7"/>
      <c r="E298" s="7"/>
    </row>
    <row r="299" ht="22.5" customHeight="1" spans="1:5">
      <c r="A299" s="7"/>
      <c r="B299" s="7"/>
      <c r="C299" s="29"/>
      <c r="D299" s="7"/>
      <c r="E299" s="7"/>
    </row>
    <row r="300" ht="22.5" customHeight="1" spans="1:5">
      <c r="A300" s="7"/>
      <c r="B300" s="7"/>
      <c r="C300" s="29"/>
      <c r="D300" s="7"/>
      <c r="E300" s="7"/>
    </row>
    <row r="301" ht="22.5" customHeight="1" spans="1:5">
      <c r="A301" s="7"/>
      <c r="B301" s="7"/>
      <c r="C301" s="29"/>
      <c r="D301" s="7"/>
      <c r="E301" s="7"/>
    </row>
    <row r="302" ht="22.5" customHeight="1" spans="1:5">
      <c r="A302" s="7"/>
      <c r="B302" s="7"/>
      <c r="C302" s="29"/>
      <c r="D302" s="7"/>
      <c r="E302" s="7"/>
    </row>
    <row r="303" ht="22.5" customHeight="1" spans="1:5">
      <c r="A303" s="7"/>
      <c r="B303" s="7"/>
      <c r="C303" s="29"/>
      <c r="D303" s="7"/>
      <c r="E303" s="7"/>
    </row>
    <row r="304" ht="22.5" customHeight="1" spans="1:5">
      <c r="A304" s="7"/>
      <c r="B304" s="7"/>
      <c r="C304" s="29"/>
      <c r="D304" s="7"/>
      <c r="E304" s="7"/>
    </row>
    <row r="305" ht="22.5" customHeight="1" spans="1:5">
      <c r="A305" s="7"/>
      <c r="B305" s="7"/>
      <c r="C305" s="29"/>
      <c r="D305" s="7"/>
      <c r="E305" s="7"/>
    </row>
    <row r="306" ht="22.5" customHeight="1" spans="1:5">
      <c r="A306" s="7"/>
      <c r="B306" s="7"/>
      <c r="C306" s="29"/>
      <c r="D306" s="7"/>
      <c r="E306" s="7"/>
    </row>
    <row r="307" ht="22.5" customHeight="1" spans="1:5">
      <c r="A307" s="7"/>
      <c r="B307" s="7"/>
      <c r="C307" s="29"/>
      <c r="D307" s="7"/>
      <c r="E307" s="7"/>
    </row>
    <row r="308" ht="22.5" customHeight="1" spans="1:5">
      <c r="A308" s="7"/>
      <c r="B308" s="7"/>
      <c r="C308" s="29"/>
      <c r="D308" s="7"/>
      <c r="E308" s="7"/>
    </row>
    <row r="309" ht="22.5" customHeight="1" spans="1:5">
      <c r="A309" s="7"/>
      <c r="B309" s="7"/>
      <c r="C309" s="29"/>
      <c r="D309" s="7"/>
      <c r="E309" s="7"/>
    </row>
    <row r="310" ht="22.5" customHeight="1" spans="1:5">
      <c r="A310" s="7"/>
      <c r="B310" s="7"/>
      <c r="C310" s="29"/>
      <c r="D310" s="7"/>
      <c r="E310" s="7"/>
    </row>
    <row r="311" ht="22.5" customHeight="1" spans="1:5">
      <c r="A311" s="7"/>
      <c r="B311" s="7"/>
      <c r="C311" s="29"/>
      <c r="D311" s="7"/>
      <c r="E311" s="7"/>
    </row>
    <row r="312" ht="22.5" customHeight="1" spans="1:5">
      <c r="A312" s="7"/>
      <c r="B312" s="7"/>
      <c r="C312" s="29"/>
      <c r="D312" s="7"/>
      <c r="E312" s="7"/>
    </row>
    <row r="313" ht="22.5" customHeight="1" spans="1:5">
      <c r="A313" s="7"/>
      <c r="B313" s="7"/>
      <c r="C313" s="29"/>
      <c r="D313" s="7"/>
      <c r="E313" s="7"/>
    </row>
    <row r="314" ht="22.5" customHeight="1" spans="1:5">
      <c r="A314" s="7"/>
      <c r="B314" s="7"/>
      <c r="C314" s="29"/>
      <c r="D314" s="7"/>
      <c r="E314" s="7"/>
    </row>
    <row r="315" ht="22.5" customHeight="1" spans="1:5">
      <c r="A315" s="7"/>
      <c r="B315" s="7"/>
      <c r="C315" s="29"/>
      <c r="D315" s="7"/>
      <c r="E315" s="7"/>
    </row>
    <row r="316" ht="22.5" customHeight="1" spans="1:5">
      <c r="A316" s="7"/>
      <c r="B316" s="7"/>
      <c r="C316" s="29"/>
      <c r="D316" s="7"/>
      <c r="E316" s="7"/>
    </row>
    <row r="317" ht="22.5" customHeight="1" spans="1:5">
      <c r="A317" s="7"/>
      <c r="B317" s="7"/>
      <c r="C317" s="29"/>
      <c r="D317" s="7"/>
      <c r="E317" s="7"/>
    </row>
    <row r="318" ht="22.5" customHeight="1" spans="1:5">
      <c r="A318" s="7"/>
      <c r="B318" s="7"/>
      <c r="C318" s="29"/>
      <c r="D318" s="7"/>
      <c r="E318" s="7"/>
    </row>
    <row r="319" ht="22.5" customHeight="1" spans="1:5">
      <c r="A319" s="7"/>
      <c r="B319" s="7"/>
      <c r="C319" s="29"/>
      <c r="D319" s="7"/>
      <c r="E319" s="7"/>
    </row>
    <row r="320" ht="22.5" customHeight="1" spans="1:5">
      <c r="A320" s="7"/>
      <c r="B320" s="7"/>
      <c r="C320" s="29"/>
      <c r="D320" s="7"/>
      <c r="E320" s="7"/>
    </row>
    <row r="321" ht="22.5" customHeight="1" spans="1:5">
      <c r="A321" s="7"/>
      <c r="B321" s="7"/>
      <c r="C321" s="29"/>
      <c r="D321" s="7"/>
      <c r="E321" s="7"/>
    </row>
    <row r="322" ht="22.5" customHeight="1" spans="1:5">
      <c r="A322" s="7"/>
      <c r="B322" s="7"/>
      <c r="C322" s="29"/>
      <c r="D322" s="7"/>
      <c r="E322" s="7"/>
    </row>
    <row r="323" ht="22.5" customHeight="1" spans="1:5">
      <c r="A323" s="7"/>
      <c r="B323" s="7"/>
      <c r="C323" s="29"/>
      <c r="D323" s="7"/>
      <c r="E323" s="7"/>
    </row>
    <row r="324" ht="22.5" customHeight="1" spans="1:5">
      <c r="A324" s="7"/>
      <c r="B324" s="7"/>
      <c r="C324" s="29"/>
      <c r="D324" s="7"/>
      <c r="E324" s="7"/>
    </row>
    <row r="325" ht="22.5" customHeight="1" spans="1:5">
      <c r="A325" s="7"/>
      <c r="B325" s="7"/>
      <c r="C325" s="29"/>
      <c r="D325" s="7"/>
      <c r="E325" s="7"/>
    </row>
    <row r="326" ht="22.5" customHeight="1" spans="1:5">
      <c r="A326" s="7"/>
      <c r="B326" s="7"/>
      <c r="C326" s="29"/>
      <c r="D326" s="7"/>
      <c r="E326" s="7"/>
    </row>
    <row r="327" ht="22.5" customHeight="1" spans="1:5">
      <c r="A327" s="7"/>
      <c r="B327" s="7"/>
      <c r="C327" s="29"/>
      <c r="D327" s="7"/>
      <c r="E327" s="7"/>
    </row>
    <row r="328" ht="22.5" customHeight="1" spans="1:5">
      <c r="A328" s="7"/>
      <c r="B328" s="7"/>
      <c r="C328" s="29"/>
      <c r="D328" s="7"/>
      <c r="E328" s="7"/>
    </row>
    <row r="329" ht="22.5" customHeight="1" spans="1:5">
      <c r="A329" s="7"/>
      <c r="B329" s="7"/>
      <c r="C329" s="29"/>
      <c r="D329" s="7"/>
      <c r="E329" s="7"/>
    </row>
    <row r="330" ht="22.5" customHeight="1" spans="1:5">
      <c r="A330" s="7"/>
      <c r="B330" s="7"/>
      <c r="C330" s="29"/>
      <c r="D330" s="7"/>
      <c r="E330" s="7"/>
    </row>
    <row r="331" ht="22.5" customHeight="1" spans="1:5">
      <c r="A331" s="7"/>
      <c r="B331" s="7"/>
      <c r="C331" s="29"/>
      <c r="D331" s="7"/>
      <c r="E331" s="7"/>
    </row>
    <row r="332" ht="22.5" customHeight="1" spans="1:5">
      <c r="A332" s="7"/>
      <c r="B332" s="7"/>
      <c r="C332" s="29"/>
      <c r="D332" s="7"/>
      <c r="E332" s="7"/>
    </row>
    <row r="333" ht="22.5" customHeight="1" spans="1:5">
      <c r="A333" s="7"/>
      <c r="B333" s="7"/>
      <c r="C333" s="29"/>
      <c r="D333" s="7"/>
      <c r="E333" s="7"/>
    </row>
    <row r="334" ht="22.5" customHeight="1" spans="1:5">
      <c r="A334" s="7"/>
      <c r="B334" s="7"/>
      <c r="C334" s="29"/>
      <c r="D334" s="7"/>
      <c r="E334" s="7"/>
    </row>
    <row r="335" ht="22.5" customHeight="1" spans="1:5">
      <c r="A335" s="7"/>
      <c r="B335" s="7"/>
      <c r="C335" s="29"/>
      <c r="D335" s="7"/>
      <c r="E335" s="7"/>
    </row>
    <row r="336" ht="22.5" customHeight="1" spans="1:5">
      <c r="A336" s="7"/>
      <c r="B336" s="7"/>
      <c r="C336" s="29"/>
      <c r="D336" s="7"/>
      <c r="E336" s="7"/>
    </row>
    <row r="337" ht="22.5" customHeight="1" spans="1:5">
      <c r="A337" s="7"/>
      <c r="B337" s="7"/>
      <c r="C337" s="29"/>
      <c r="D337" s="7"/>
      <c r="E337" s="7"/>
    </row>
    <row r="338" ht="22.5" customHeight="1" spans="1:5">
      <c r="A338" s="7"/>
      <c r="B338" s="7"/>
      <c r="C338" s="29"/>
      <c r="D338" s="7"/>
      <c r="E338" s="7"/>
    </row>
    <row r="339" ht="22.5" customHeight="1" spans="1:5">
      <c r="A339" s="7"/>
      <c r="B339" s="7"/>
      <c r="C339" s="29"/>
      <c r="D339" s="7"/>
      <c r="E339" s="7"/>
    </row>
    <row r="340" ht="22.5" customHeight="1" spans="1:5">
      <c r="A340" s="7"/>
      <c r="B340" s="7"/>
      <c r="C340" s="29"/>
      <c r="D340" s="7"/>
      <c r="E340" s="7"/>
    </row>
    <row r="341" ht="22.5" customHeight="1" spans="1:5">
      <c r="A341" s="7"/>
      <c r="B341" s="7"/>
      <c r="C341" s="29"/>
      <c r="D341" s="7"/>
      <c r="E341" s="7"/>
    </row>
    <row r="342" ht="22.5" customHeight="1" spans="1:5">
      <c r="A342" s="7"/>
      <c r="B342" s="7"/>
      <c r="C342" s="29"/>
      <c r="D342" s="7"/>
      <c r="E342" s="7"/>
    </row>
    <row r="343" ht="22.5" customHeight="1" spans="1:5">
      <c r="A343" s="7"/>
      <c r="B343" s="7"/>
      <c r="C343" s="29"/>
      <c r="D343" s="7"/>
      <c r="E343" s="7"/>
    </row>
    <row r="344" ht="22.5" customHeight="1" spans="1:5">
      <c r="A344" s="7"/>
      <c r="B344" s="7"/>
      <c r="C344" s="29"/>
      <c r="D344" s="7"/>
      <c r="E344" s="7"/>
    </row>
    <row r="345" ht="22.5" customHeight="1" spans="1:5">
      <c r="A345" s="7"/>
      <c r="B345" s="7"/>
      <c r="C345" s="29"/>
      <c r="D345" s="7"/>
      <c r="E345" s="7"/>
    </row>
    <row r="346" ht="22.5" customHeight="1" spans="1:5">
      <c r="A346" s="7"/>
      <c r="B346" s="7"/>
      <c r="C346" s="29"/>
      <c r="D346" s="7"/>
      <c r="E346" s="7"/>
    </row>
    <row r="347" ht="22.5" customHeight="1" spans="1:5">
      <c r="A347" s="7"/>
      <c r="B347" s="7"/>
      <c r="C347" s="29"/>
      <c r="D347" s="7"/>
      <c r="E347" s="7"/>
    </row>
    <row r="348" ht="22.5" customHeight="1" spans="1:5">
      <c r="A348" s="7"/>
      <c r="B348" s="7"/>
      <c r="C348" s="29"/>
      <c r="D348" s="7"/>
      <c r="E348" s="7"/>
    </row>
    <row r="349" ht="22.5" customHeight="1" spans="1:5">
      <c r="A349" s="7"/>
      <c r="B349" s="7"/>
      <c r="C349" s="29"/>
      <c r="D349" s="7"/>
      <c r="E349" s="7"/>
    </row>
    <row r="350" ht="22.5" customHeight="1" spans="1:5">
      <c r="A350" s="7"/>
      <c r="B350" s="7"/>
      <c r="C350" s="29"/>
      <c r="D350" s="7"/>
      <c r="E350" s="7"/>
    </row>
    <row r="351" ht="22.5" customHeight="1" spans="1:5">
      <c r="A351" s="7"/>
      <c r="B351" s="7"/>
      <c r="C351" s="29"/>
      <c r="D351" s="7"/>
      <c r="E351" s="7"/>
    </row>
    <row r="352" ht="22.5" customHeight="1" spans="1:5">
      <c r="A352" s="7"/>
      <c r="B352" s="7"/>
      <c r="C352" s="29"/>
      <c r="D352" s="7"/>
      <c r="E352" s="7"/>
    </row>
    <row r="353" ht="22.5" customHeight="1" spans="1:5">
      <c r="A353" s="7"/>
      <c r="B353" s="7"/>
      <c r="C353" s="29"/>
      <c r="D353" s="7"/>
      <c r="E353" s="7"/>
    </row>
    <row r="354" ht="22.5" customHeight="1" spans="1:5">
      <c r="A354" s="7"/>
      <c r="B354" s="7"/>
      <c r="C354" s="29"/>
      <c r="D354" s="7"/>
      <c r="E354" s="7"/>
    </row>
    <row r="355" ht="22.5" customHeight="1" spans="1:5">
      <c r="A355" s="7"/>
      <c r="B355" s="7"/>
      <c r="C355" s="29"/>
      <c r="D355" s="7"/>
      <c r="E355" s="7"/>
    </row>
    <row r="356" ht="22.5" customHeight="1" spans="1:5">
      <c r="A356" s="7"/>
      <c r="B356" s="7"/>
      <c r="C356" s="29"/>
      <c r="D356" s="7"/>
      <c r="E356" s="7"/>
    </row>
    <row r="357" ht="22.5" customHeight="1" spans="1:5">
      <c r="A357" s="7"/>
      <c r="B357" s="7"/>
      <c r="C357" s="29"/>
      <c r="D357" s="7"/>
      <c r="E357" s="7"/>
    </row>
    <row r="358" ht="22.5" customHeight="1" spans="1:5">
      <c r="A358" s="7"/>
      <c r="B358" s="7"/>
      <c r="C358" s="29"/>
      <c r="D358" s="7"/>
      <c r="E358" s="7"/>
    </row>
    <row r="359" ht="22.5" customHeight="1" spans="1:5">
      <c r="A359" s="7"/>
      <c r="B359" s="7"/>
      <c r="C359" s="29"/>
      <c r="D359" s="7"/>
      <c r="E359" s="7"/>
    </row>
    <row r="360" ht="22.5" customHeight="1" spans="1:5">
      <c r="A360" s="7"/>
      <c r="B360" s="7"/>
      <c r="C360" s="29"/>
      <c r="D360" s="7"/>
      <c r="E360" s="7"/>
    </row>
    <row r="361" ht="22.5" customHeight="1" spans="1:5">
      <c r="A361" s="7"/>
      <c r="B361" s="7"/>
      <c r="C361" s="29"/>
      <c r="D361" s="7"/>
      <c r="E361" s="7"/>
    </row>
    <row r="362" ht="22.5" customHeight="1" spans="1:5">
      <c r="A362" s="7"/>
      <c r="B362" s="7"/>
      <c r="C362" s="29"/>
      <c r="D362" s="7"/>
      <c r="E362" s="7"/>
    </row>
    <row r="363" ht="22.5" customHeight="1" spans="1:5">
      <c r="A363" s="7"/>
      <c r="B363" s="7"/>
      <c r="C363" s="29"/>
      <c r="D363" s="7"/>
      <c r="E363" s="7"/>
    </row>
    <row r="364" ht="22.5" customHeight="1" spans="1:5">
      <c r="A364" s="7"/>
      <c r="B364" s="7"/>
      <c r="C364" s="29"/>
      <c r="D364" s="7"/>
      <c r="E364" s="7"/>
    </row>
    <row r="365" ht="22.5" customHeight="1" spans="1:5">
      <c r="A365" s="7"/>
      <c r="B365" s="7"/>
      <c r="C365" s="29"/>
      <c r="D365" s="7"/>
      <c r="E365" s="7"/>
    </row>
    <row r="366" ht="22.5" customHeight="1" spans="1:5">
      <c r="A366" s="7"/>
      <c r="B366" s="7"/>
      <c r="C366" s="29"/>
      <c r="D366" s="7"/>
      <c r="E366" s="7"/>
    </row>
    <row r="367" ht="22.5" customHeight="1" spans="1:5">
      <c r="A367" s="7"/>
      <c r="B367" s="7"/>
      <c r="C367" s="29"/>
      <c r="D367" s="7"/>
      <c r="E367" s="7"/>
    </row>
    <row r="368" ht="22.5" customHeight="1" spans="1:5">
      <c r="A368" s="7"/>
      <c r="B368" s="7"/>
      <c r="C368" s="29"/>
      <c r="D368" s="7"/>
      <c r="E368" s="7"/>
    </row>
    <row r="369" ht="22.5" customHeight="1" spans="1:5">
      <c r="A369" s="7"/>
      <c r="B369" s="7"/>
      <c r="C369" s="29"/>
      <c r="D369" s="7"/>
      <c r="E369" s="7"/>
    </row>
    <row r="370" ht="22.5" customHeight="1" spans="1:5">
      <c r="A370" s="7"/>
      <c r="B370" s="7"/>
      <c r="C370" s="29"/>
      <c r="D370" s="7"/>
      <c r="E370" s="7"/>
    </row>
    <row r="371" ht="22.5" customHeight="1" spans="1:5">
      <c r="A371" s="7"/>
      <c r="B371" s="7"/>
      <c r="C371" s="29"/>
      <c r="D371" s="7"/>
      <c r="E371" s="7"/>
    </row>
    <row r="372" ht="22.5" customHeight="1" spans="1:5">
      <c r="A372" s="7"/>
      <c r="B372" s="7"/>
      <c r="C372" s="29"/>
      <c r="D372" s="7"/>
      <c r="E372" s="7"/>
    </row>
    <row r="373" ht="22.5" customHeight="1" spans="1:5">
      <c r="A373" s="7"/>
      <c r="B373" s="7"/>
      <c r="C373" s="29"/>
      <c r="D373" s="7"/>
      <c r="E373" s="7"/>
    </row>
    <row r="374" ht="22.5" customHeight="1" spans="1:5">
      <c r="A374" s="7"/>
      <c r="B374" s="7"/>
      <c r="C374" s="29"/>
      <c r="D374" s="7"/>
      <c r="E374" s="7"/>
    </row>
    <row r="375" ht="22.5" customHeight="1" spans="1:5">
      <c r="A375" s="7"/>
      <c r="B375" s="7"/>
      <c r="C375" s="29"/>
      <c r="D375" s="7"/>
      <c r="E375" s="7"/>
    </row>
    <row r="376" ht="22.5" customHeight="1" spans="1:5">
      <c r="A376" s="7"/>
      <c r="B376" s="7"/>
      <c r="C376" s="29"/>
      <c r="D376" s="7"/>
      <c r="E376" s="7"/>
    </row>
    <row r="377" ht="22.5" customHeight="1" spans="1:5">
      <c r="A377" s="7"/>
      <c r="B377" s="7"/>
      <c r="C377" s="29"/>
      <c r="D377" s="7"/>
      <c r="E377" s="7"/>
    </row>
    <row r="378" ht="22.5" customHeight="1" spans="1:5">
      <c r="A378" s="7"/>
      <c r="B378" s="7"/>
      <c r="C378" s="29"/>
      <c r="D378" s="7"/>
      <c r="E378" s="7"/>
    </row>
    <row r="379" ht="22.5" customHeight="1" spans="1:5">
      <c r="A379" s="7"/>
      <c r="B379" s="7"/>
      <c r="C379" s="29"/>
      <c r="D379" s="7"/>
      <c r="E379" s="7"/>
    </row>
    <row r="380" ht="22.5" customHeight="1" spans="1:5">
      <c r="A380" s="7"/>
      <c r="B380" s="7"/>
      <c r="C380" s="29"/>
      <c r="D380" s="7"/>
      <c r="E380" s="7"/>
    </row>
    <row r="381" ht="22.5" customHeight="1" spans="1:5">
      <c r="A381" s="7"/>
      <c r="B381" s="7"/>
      <c r="C381" s="29"/>
      <c r="D381" s="7"/>
      <c r="E381" s="7"/>
    </row>
    <row r="382" ht="22.5" customHeight="1" spans="1:5">
      <c r="A382" s="7"/>
      <c r="B382" s="7"/>
      <c r="C382" s="29"/>
      <c r="D382" s="7"/>
      <c r="E382" s="7"/>
    </row>
    <row r="383" ht="22.5" customHeight="1" spans="1:5">
      <c r="A383" s="7"/>
      <c r="B383" s="7"/>
      <c r="C383" s="29"/>
      <c r="D383" s="7"/>
      <c r="E383" s="7"/>
    </row>
    <row r="384" ht="22.5" customHeight="1" spans="1:5">
      <c r="A384" s="7"/>
      <c r="B384" s="7"/>
      <c r="C384" s="29"/>
      <c r="D384" s="7"/>
      <c r="E384" s="7"/>
    </row>
    <row r="385" ht="22.5" customHeight="1" spans="1:5">
      <c r="A385" s="7"/>
      <c r="B385" s="7"/>
      <c r="C385" s="29"/>
      <c r="D385" s="7"/>
      <c r="E385" s="7"/>
    </row>
    <row r="386" ht="22.5" customHeight="1" spans="1:5">
      <c r="A386" s="7"/>
      <c r="B386" s="7"/>
      <c r="C386" s="29"/>
      <c r="D386" s="7"/>
      <c r="E386" s="7"/>
    </row>
    <row r="387" ht="22.5" customHeight="1" spans="1:5">
      <c r="A387" s="7"/>
      <c r="B387" s="7"/>
      <c r="C387" s="29"/>
      <c r="D387" s="7"/>
      <c r="E387" s="7"/>
    </row>
    <row r="388" ht="22.5" customHeight="1" spans="1:5">
      <c r="A388" s="7"/>
      <c r="B388" s="7"/>
      <c r="C388" s="29"/>
      <c r="D388" s="7"/>
      <c r="E388" s="7"/>
    </row>
    <row r="389" ht="22.5" customHeight="1" spans="1:5">
      <c r="A389" s="7"/>
      <c r="B389" s="7"/>
      <c r="C389" s="29"/>
      <c r="D389" s="7"/>
      <c r="E389" s="7"/>
    </row>
    <row r="390" ht="22.5" customHeight="1" spans="1:5">
      <c r="A390" s="7"/>
      <c r="B390" s="7"/>
      <c r="C390" s="29"/>
      <c r="D390" s="7"/>
      <c r="E390" s="7"/>
    </row>
    <row r="391" ht="22.5" customHeight="1" spans="1:5">
      <c r="A391" s="7"/>
      <c r="B391" s="7"/>
      <c r="C391" s="29"/>
      <c r="D391" s="7"/>
      <c r="E391" s="7"/>
    </row>
    <row r="392" ht="22.5" customHeight="1" spans="1:5">
      <c r="A392" s="7"/>
      <c r="B392" s="7"/>
      <c r="C392" s="29"/>
      <c r="D392" s="7"/>
      <c r="E392" s="7"/>
    </row>
    <row r="393" ht="22.5" customHeight="1" spans="1:5">
      <c r="A393" s="7"/>
      <c r="B393" s="7"/>
      <c r="C393" s="29"/>
      <c r="D393" s="7"/>
      <c r="E393" s="7"/>
    </row>
    <row r="394" ht="22.5" customHeight="1" spans="1:5">
      <c r="A394" s="7"/>
      <c r="B394" s="7"/>
      <c r="C394" s="29"/>
      <c r="D394" s="7"/>
      <c r="E394" s="7"/>
    </row>
    <row r="395" ht="22.5" customHeight="1" spans="1:5">
      <c r="A395" s="7"/>
      <c r="B395" s="7"/>
      <c r="C395" s="29"/>
      <c r="D395" s="7"/>
      <c r="E395" s="7"/>
    </row>
    <row r="396" ht="22.5" customHeight="1" spans="1:5">
      <c r="A396" s="7"/>
      <c r="B396" s="7"/>
      <c r="C396" s="29"/>
      <c r="D396" s="7"/>
      <c r="E396" s="7"/>
    </row>
    <row r="397" ht="22.5" customHeight="1" spans="1:5">
      <c r="A397" s="7"/>
      <c r="B397" s="7"/>
      <c r="C397" s="29"/>
      <c r="D397" s="7"/>
      <c r="E397" s="7"/>
    </row>
    <row r="398" ht="22.5" customHeight="1" spans="1:5">
      <c r="A398" s="7"/>
      <c r="B398" s="7"/>
      <c r="C398" s="29"/>
      <c r="D398" s="7"/>
      <c r="E398" s="7"/>
    </row>
    <row r="399" ht="22.5" customHeight="1" spans="1:5">
      <c r="A399" s="7"/>
      <c r="B399" s="7"/>
      <c r="C399" s="29"/>
      <c r="D399" s="7"/>
      <c r="E399" s="7"/>
    </row>
    <row r="400" ht="22.5" customHeight="1" spans="1:5">
      <c r="A400" s="7"/>
      <c r="B400" s="7"/>
      <c r="C400" s="29"/>
      <c r="D400" s="7"/>
      <c r="E400" s="7"/>
    </row>
    <row r="401" ht="22.5" customHeight="1" spans="1:5">
      <c r="A401" s="7"/>
      <c r="B401" s="7"/>
      <c r="C401" s="29"/>
      <c r="D401" s="7"/>
      <c r="E401" s="7"/>
    </row>
    <row r="402" ht="22.5" customHeight="1" spans="1:5">
      <c r="A402" s="7"/>
      <c r="B402" s="7"/>
      <c r="C402" s="29"/>
      <c r="D402" s="7"/>
      <c r="E402" s="7"/>
    </row>
    <row r="403" ht="22.5" customHeight="1" spans="1:5">
      <c r="A403" s="7"/>
      <c r="B403" s="7"/>
      <c r="C403" s="29"/>
      <c r="D403" s="7"/>
      <c r="E403" s="7"/>
    </row>
    <row r="404" ht="22.5" customHeight="1" spans="1:5">
      <c r="A404" s="7"/>
      <c r="B404" s="7"/>
      <c r="C404" s="29"/>
      <c r="D404" s="7"/>
      <c r="E404" s="7"/>
    </row>
    <row r="405" ht="22.5" customHeight="1" spans="1:5">
      <c r="A405" s="7"/>
      <c r="B405" s="7"/>
      <c r="C405" s="29"/>
      <c r="D405" s="7"/>
      <c r="E405" s="7"/>
    </row>
    <row r="406" ht="22.5" customHeight="1" spans="1:5">
      <c r="A406" s="7"/>
      <c r="B406" s="7"/>
      <c r="C406" s="29"/>
      <c r="D406" s="7"/>
      <c r="E406" s="7"/>
    </row>
    <row r="407" ht="22.5" customHeight="1" spans="1:5">
      <c r="A407" s="7"/>
      <c r="B407" s="7"/>
      <c r="C407" s="29"/>
      <c r="D407" s="7"/>
      <c r="E407" s="7"/>
    </row>
    <row r="408" ht="22.5" customHeight="1" spans="1:5">
      <c r="A408" s="7"/>
      <c r="B408" s="7"/>
      <c r="C408" s="29"/>
      <c r="D408" s="7"/>
      <c r="E408" s="7"/>
    </row>
    <row r="409" ht="22.5" customHeight="1" spans="1:5">
      <c r="A409" s="7"/>
      <c r="B409" s="7"/>
      <c r="C409" s="29"/>
      <c r="D409" s="7"/>
      <c r="E409" s="7"/>
    </row>
    <row r="410" ht="22.5" customHeight="1" spans="1:5">
      <c r="A410" s="7"/>
      <c r="B410" s="7"/>
      <c r="C410" s="29"/>
      <c r="D410" s="7"/>
      <c r="E410" s="7"/>
    </row>
    <row r="411" ht="22.5" customHeight="1" spans="1:5">
      <c r="A411" s="7"/>
      <c r="B411" s="7"/>
      <c r="C411" s="29"/>
      <c r="D411" s="7"/>
      <c r="E411" s="7"/>
    </row>
    <row r="412" ht="22.5" customHeight="1" spans="1:5">
      <c r="A412" s="7"/>
      <c r="B412" s="7"/>
      <c r="C412" s="29"/>
      <c r="D412" s="7"/>
      <c r="E412" s="7"/>
    </row>
    <row r="413" ht="22.5" customHeight="1" spans="1:5">
      <c r="A413" s="7"/>
      <c r="B413" s="7"/>
      <c r="C413" s="29"/>
      <c r="D413" s="7"/>
      <c r="E413" s="7"/>
    </row>
    <row r="414" ht="22.5" customHeight="1" spans="1:5">
      <c r="A414" s="7"/>
      <c r="B414" s="7"/>
      <c r="C414" s="29"/>
      <c r="D414" s="7"/>
      <c r="E414" s="7"/>
    </row>
    <row r="415" ht="22.5" customHeight="1" spans="1:5">
      <c r="A415" s="7"/>
      <c r="B415" s="7"/>
      <c r="C415" s="29"/>
      <c r="D415" s="7"/>
      <c r="E415" s="7"/>
    </row>
    <row r="416" ht="22.5" customHeight="1" spans="1:5">
      <c r="A416" s="7"/>
      <c r="B416" s="7"/>
      <c r="C416" s="29"/>
      <c r="D416" s="7"/>
      <c r="E416" s="7"/>
    </row>
    <row r="417" ht="22.5" customHeight="1" spans="1:5">
      <c r="A417" s="7"/>
      <c r="B417" s="7"/>
      <c r="C417" s="29"/>
      <c r="D417" s="7"/>
      <c r="E417" s="7"/>
    </row>
    <row r="418" ht="22.5" customHeight="1" spans="1:5">
      <c r="A418" s="7"/>
      <c r="B418" s="7"/>
      <c r="C418" s="29"/>
      <c r="D418" s="7"/>
      <c r="E418" s="7"/>
    </row>
    <row r="419" ht="22.5" customHeight="1" spans="1:5">
      <c r="A419" s="7"/>
      <c r="B419" s="7"/>
      <c r="C419" s="29"/>
      <c r="D419" s="7"/>
      <c r="E419" s="7"/>
    </row>
    <row r="420" ht="22.5" customHeight="1" spans="1:5">
      <c r="A420" s="7"/>
      <c r="B420" s="7"/>
      <c r="C420" s="29"/>
      <c r="D420" s="7"/>
      <c r="E420" s="7"/>
    </row>
    <row r="421" ht="22.5" customHeight="1" spans="1:5">
      <c r="A421" s="7"/>
      <c r="B421" s="7"/>
      <c r="C421" s="29"/>
      <c r="D421" s="7"/>
      <c r="E421" s="7"/>
    </row>
    <row r="422" ht="22.5" customHeight="1" spans="1:5">
      <c r="A422" s="7"/>
      <c r="B422" s="7"/>
      <c r="C422" s="29"/>
      <c r="D422" s="7"/>
      <c r="E422" s="7"/>
    </row>
    <row r="423" ht="22.5" customHeight="1" spans="1:5">
      <c r="A423" s="7"/>
      <c r="B423" s="7"/>
      <c r="C423" s="29"/>
      <c r="D423" s="7"/>
      <c r="E423" s="7"/>
    </row>
    <row r="424" ht="22.5" customHeight="1" spans="1:5">
      <c r="A424" s="7"/>
      <c r="B424" s="7"/>
      <c r="C424" s="29"/>
      <c r="D424" s="7"/>
      <c r="E424" s="7"/>
    </row>
    <row r="425" ht="22.5" customHeight="1" spans="1:5">
      <c r="A425" s="7"/>
      <c r="B425" s="7"/>
      <c r="C425" s="29"/>
      <c r="D425" s="7"/>
      <c r="E425" s="7"/>
    </row>
    <row r="426" ht="22.5" customHeight="1" spans="1:5">
      <c r="A426" s="7"/>
      <c r="B426" s="7"/>
      <c r="C426" s="29"/>
      <c r="D426" s="7"/>
      <c r="E426" s="7"/>
    </row>
    <row r="427" ht="22.5" customHeight="1" spans="1:5">
      <c r="A427" s="7"/>
      <c r="B427" s="7"/>
      <c r="C427" s="29"/>
      <c r="D427" s="7"/>
      <c r="E427" s="7"/>
    </row>
    <row r="428" ht="22.5" customHeight="1" spans="1:5">
      <c r="A428" s="7"/>
      <c r="B428" s="7"/>
      <c r="C428" s="29"/>
      <c r="D428" s="7"/>
      <c r="E428" s="7"/>
    </row>
    <row r="429" ht="22.5" customHeight="1" spans="1:5">
      <c r="A429" s="7"/>
      <c r="B429" s="7"/>
      <c r="C429" s="29"/>
      <c r="D429" s="7"/>
      <c r="E429" s="7"/>
    </row>
    <row r="430" ht="22.5" customHeight="1" spans="1:5">
      <c r="A430" s="7"/>
      <c r="B430" s="7"/>
      <c r="C430" s="29"/>
      <c r="D430" s="7"/>
      <c r="E430" s="7"/>
    </row>
    <row r="431" ht="22.5" customHeight="1" spans="1:5">
      <c r="A431" s="7"/>
      <c r="B431" s="7"/>
      <c r="C431" s="29"/>
      <c r="D431" s="7"/>
      <c r="E431" s="7"/>
    </row>
    <row r="432" ht="22.5" customHeight="1" spans="1:5">
      <c r="A432" s="7"/>
      <c r="B432" s="7"/>
      <c r="C432" s="29"/>
      <c r="D432" s="7"/>
      <c r="E432" s="7"/>
    </row>
    <row r="433" ht="22.5" customHeight="1" spans="1:5">
      <c r="A433" s="7"/>
      <c r="B433" s="7"/>
      <c r="C433" s="29"/>
      <c r="D433" s="7"/>
      <c r="E433" s="7"/>
    </row>
    <row r="434" ht="22.5" customHeight="1" spans="1:5">
      <c r="A434" s="7"/>
      <c r="B434" s="7"/>
      <c r="C434" s="29"/>
      <c r="D434" s="7"/>
      <c r="E434" s="7"/>
    </row>
    <row r="435" ht="22.5" customHeight="1" spans="1:5">
      <c r="A435" s="7"/>
      <c r="B435" s="7"/>
      <c r="C435" s="29"/>
      <c r="D435" s="7"/>
      <c r="E435" s="7"/>
    </row>
    <row r="436" ht="22.5" customHeight="1" spans="1:5">
      <c r="A436" s="7"/>
      <c r="B436" s="7"/>
      <c r="C436" s="29"/>
      <c r="D436" s="7"/>
      <c r="E436" s="7"/>
    </row>
    <row r="437" ht="22.5" customHeight="1" spans="1:5">
      <c r="A437" s="7"/>
      <c r="B437" s="7"/>
      <c r="C437" s="29"/>
      <c r="D437" s="7"/>
      <c r="E437" s="7"/>
    </row>
    <row r="438" ht="22.5" customHeight="1" spans="1:5">
      <c r="A438" s="7"/>
      <c r="B438" s="7"/>
      <c r="C438" s="29"/>
      <c r="D438" s="7"/>
      <c r="E438" s="7"/>
    </row>
    <row r="439" ht="22.5" customHeight="1" spans="1:5">
      <c r="A439" s="7"/>
      <c r="B439" s="7"/>
      <c r="C439" s="29"/>
      <c r="D439" s="7"/>
      <c r="E439" s="7"/>
    </row>
    <row r="440" ht="22.5" customHeight="1" spans="1:5">
      <c r="A440" s="7"/>
      <c r="B440" s="7"/>
      <c r="C440" s="29"/>
      <c r="D440" s="7"/>
      <c r="E440" s="7"/>
    </row>
    <row r="441" ht="22.5" customHeight="1" spans="1:5">
      <c r="A441" s="7"/>
      <c r="B441" s="7"/>
      <c r="C441" s="29"/>
      <c r="D441" s="7"/>
      <c r="E441" s="7"/>
    </row>
    <row r="442" ht="22.5" customHeight="1" spans="1:5">
      <c r="A442" s="7"/>
      <c r="B442" s="7"/>
      <c r="C442" s="29"/>
      <c r="D442" s="7"/>
      <c r="E442" s="7"/>
    </row>
    <row r="443" ht="22.5" customHeight="1" spans="1:5">
      <c r="A443" s="7"/>
      <c r="B443" s="7"/>
      <c r="C443" s="29"/>
      <c r="D443" s="7"/>
      <c r="E443" s="7"/>
    </row>
    <row r="444" ht="22.5" customHeight="1" spans="1:5">
      <c r="A444" s="7"/>
      <c r="B444" s="7"/>
      <c r="C444" s="29"/>
      <c r="D444" s="7"/>
      <c r="E444" s="7"/>
    </row>
    <row r="445" ht="22.5" customHeight="1" spans="1:5">
      <c r="A445" s="7"/>
      <c r="B445" s="7"/>
      <c r="C445" s="29"/>
      <c r="D445" s="7"/>
      <c r="E445" s="7"/>
    </row>
    <row r="446" ht="22.5" customHeight="1" spans="1:5">
      <c r="A446" s="7"/>
      <c r="B446" s="7"/>
      <c r="C446" s="29"/>
      <c r="D446" s="7"/>
      <c r="E446" s="7"/>
    </row>
    <row r="447" ht="22.5" customHeight="1" spans="1:5">
      <c r="A447" s="7"/>
      <c r="B447" s="7"/>
      <c r="C447" s="29"/>
      <c r="D447" s="7"/>
      <c r="E447" s="7"/>
    </row>
    <row r="448" ht="22.5" customHeight="1" spans="1:5">
      <c r="A448" s="7"/>
      <c r="B448" s="7"/>
      <c r="C448" s="29"/>
      <c r="D448" s="7"/>
      <c r="E448" s="7"/>
    </row>
    <row r="449" ht="22.5" customHeight="1" spans="1:5">
      <c r="A449" s="7"/>
      <c r="B449" s="7"/>
      <c r="C449" s="29"/>
      <c r="D449" s="7"/>
      <c r="E449" s="7"/>
    </row>
    <row r="450" ht="22.5" customHeight="1" spans="1:5">
      <c r="A450" s="7"/>
      <c r="B450" s="7"/>
      <c r="C450" s="29"/>
      <c r="D450" s="7"/>
      <c r="E450" s="7"/>
    </row>
    <row r="451" ht="22.5" customHeight="1" spans="1:5">
      <c r="A451" s="7"/>
      <c r="B451" s="7"/>
      <c r="C451" s="29"/>
      <c r="D451" s="7"/>
      <c r="E451" s="7"/>
    </row>
    <row r="452" ht="22.5" customHeight="1" spans="1:5">
      <c r="A452" s="7"/>
      <c r="B452" s="7"/>
      <c r="C452" s="29"/>
      <c r="D452" s="7"/>
      <c r="E452" s="7"/>
    </row>
    <row r="453" ht="22.5" customHeight="1" spans="1:5">
      <c r="A453" s="7"/>
      <c r="B453" s="7"/>
      <c r="C453" s="29"/>
      <c r="D453" s="7"/>
      <c r="E453" s="7"/>
    </row>
    <row r="454" ht="22.5" customHeight="1" spans="1:5">
      <c r="A454" s="7"/>
      <c r="B454" s="7"/>
      <c r="C454" s="29"/>
      <c r="D454" s="7"/>
      <c r="E454" s="7"/>
    </row>
    <row r="455" ht="22.5" customHeight="1" spans="1:5">
      <c r="A455" s="7"/>
      <c r="B455" s="7"/>
      <c r="C455" s="29"/>
      <c r="D455" s="7"/>
      <c r="E455" s="7"/>
    </row>
    <row r="456" ht="22.5" customHeight="1" spans="1:5">
      <c r="A456" s="7"/>
      <c r="B456" s="7"/>
      <c r="C456" s="29"/>
      <c r="D456" s="7"/>
      <c r="E456" s="7"/>
    </row>
    <row r="457" ht="22.5" customHeight="1" spans="1:5">
      <c r="A457" s="7"/>
      <c r="B457" s="7"/>
      <c r="C457" s="29"/>
      <c r="D457" s="7"/>
      <c r="E457" s="7"/>
    </row>
    <row r="458" ht="22.5" customHeight="1" spans="1:5">
      <c r="A458" s="7"/>
      <c r="B458" s="7"/>
      <c r="C458" s="29"/>
      <c r="D458" s="7"/>
      <c r="E458" s="7"/>
    </row>
    <row r="459" ht="22.5" customHeight="1" spans="1:5">
      <c r="A459" s="7"/>
      <c r="B459" s="7"/>
      <c r="C459" s="29"/>
      <c r="D459" s="7"/>
      <c r="E459" s="7"/>
    </row>
    <row r="460" ht="22.5" customHeight="1" spans="1:5">
      <c r="A460" s="7"/>
      <c r="B460" s="7"/>
      <c r="C460" s="29"/>
      <c r="D460" s="7"/>
      <c r="E460" s="7"/>
    </row>
    <row r="461" ht="22.5" customHeight="1" spans="1:5">
      <c r="A461" s="7"/>
      <c r="B461" s="7"/>
      <c r="C461" s="29"/>
      <c r="D461" s="7"/>
      <c r="E461" s="7"/>
    </row>
    <row r="462" ht="22.5" customHeight="1" spans="1:5">
      <c r="A462" s="7"/>
      <c r="B462" s="7"/>
      <c r="C462" s="29"/>
      <c r="D462" s="7"/>
      <c r="E462" s="7"/>
    </row>
    <row r="463" ht="22.5" customHeight="1" spans="1:5">
      <c r="A463" s="7"/>
      <c r="B463" s="7"/>
      <c r="C463" s="29"/>
      <c r="D463" s="7"/>
      <c r="E463" s="7"/>
    </row>
    <row r="464" ht="22.5" customHeight="1" spans="1:5">
      <c r="A464" s="7"/>
      <c r="B464" s="7"/>
      <c r="C464" s="29"/>
      <c r="D464" s="7"/>
      <c r="E464" s="7"/>
    </row>
    <row r="465" ht="22.5" customHeight="1" spans="1:5">
      <c r="A465" s="7"/>
      <c r="B465" s="7"/>
      <c r="C465" s="29"/>
      <c r="D465" s="7"/>
      <c r="E465" s="7"/>
    </row>
    <row r="466" ht="22.5" customHeight="1" spans="1:5">
      <c r="A466" s="7"/>
      <c r="B466" s="7"/>
      <c r="C466" s="29"/>
      <c r="D466" s="7"/>
      <c r="E466" s="7"/>
    </row>
    <row r="467" ht="22.5" customHeight="1" spans="1:5">
      <c r="A467" s="7"/>
      <c r="B467" s="7"/>
      <c r="C467" s="29"/>
      <c r="D467" s="7"/>
      <c r="E467" s="7"/>
    </row>
    <row r="468" ht="22.5" customHeight="1" spans="1:5">
      <c r="A468" s="7"/>
      <c r="B468" s="7"/>
      <c r="C468" s="29"/>
      <c r="D468" s="7"/>
      <c r="E468" s="7"/>
    </row>
    <row r="469" ht="22.5" customHeight="1" spans="1:5">
      <c r="A469" s="7"/>
      <c r="B469" s="7"/>
      <c r="C469" s="29"/>
      <c r="D469" s="7"/>
      <c r="E469" s="7"/>
    </row>
    <row r="470" ht="22.5" customHeight="1" spans="1:5">
      <c r="A470" s="7"/>
      <c r="B470" s="7"/>
      <c r="C470" s="29"/>
      <c r="D470" s="7"/>
      <c r="E470" s="7"/>
    </row>
    <row r="471" ht="22.5" customHeight="1" spans="1:5">
      <c r="A471" s="7"/>
      <c r="B471" s="7"/>
      <c r="C471" s="29"/>
      <c r="D471" s="7"/>
      <c r="E471" s="7"/>
    </row>
    <row r="472" ht="22.5" customHeight="1" spans="1:5">
      <c r="A472" s="7"/>
      <c r="B472" s="7"/>
      <c r="C472" s="29"/>
      <c r="D472" s="7"/>
      <c r="E472" s="7"/>
    </row>
    <row r="473" ht="22.5" customHeight="1" spans="1:5">
      <c r="A473" s="7"/>
      <c r="B473" s="7"/>
      <c r="C473" s="29"/>
      <c r="D473" s="7"/>
      <c r="E473" s="7"/>
    </row>
    <row r="474" ht="22.5" customHeight="1" spans="1:5">
      <c r="A474" s="7"/>
      <c r="B474" s="7"/>
      <c r="C474" s="29"/>
      <c r="D474" s="7"/>
      <c r="E474" s="7"/>
    </row>
    <row r="475" ht="22.5" customHeight="1" spans="1:5">
      <c r="A475" s="7"/>
      <c r="B475" s="7"/>
      <c r="C475" s="29"/>
      <c r="D475" s="7"/>
      <c r="E475" s="7"/>
    </row>
    <row r="476" ht="22.5" customHeight="1" spans="1:5">
      <c r="A476" s="7"/>
      <c r="B476" s="7"/>
      <c r="C476" s="29"/>
      <c r="D476" s="7"/>
      <c r="E476" s="7"/>
    </row>
    <row r="477" ht="22.5" customHeight="1" spans="1:5">
      <c r="A477" s="7"/>
      <c r="B477" s="7"/>
      <c r="C477" s="29"/>
      <c r="D477" s="7"/>
      <c r="E477" s="7"/>
    </row>
    <row r="478" ht="22.5" customHeight="1" spans="1:5">
      <c r="A478" s="7"/>
      <c r="B478" s="7"/>
      <c r="C478" s="29"/>
      <c r="D478" s="7"/>
      <c r="E478" s="7"/>
    </row>
    <row r="479" ht="22.5" customHeight="1" spans="1:5">
      <c r="A479" s="7"/>
      <c r="B479" s="7"/>
      <c r="C479" s="29"/>
      <c r="D479" s="7"/>
      <c r="E479" s="7"/>
    </row>
    <row r="480" ht="22.5" customHeight="1" spans="1:5">
      <c r="A480" s="7"/>
      <c r="B480" s="7"/>
      <c r="C480" s="29"/>
      <c r="D480" s="7"/>
      <c r="E480" s="7"/>
    </row>
    <row r="481" ht="22.5" customHeight="1" spans="1:5">
      <c r="A481" s="7"/>
      <c r="B481" s="7"/>
      <c r="C481" s="29"/>
      <c r="D481" s="7"/>
      <c r="E481" s="7"/>
    </row>
    <row r="482" ht="22.5" customHeight="1" spans="1:5">
      <c r="A482" s="7"/>
      <c r="B482" s="7"/>
      <c r="C482" s="29"/>
      <c r="D482" s="7"/>
      <c r="E482" s="7"/>
    </row>
    <row r="483" ht="22.5" customHeight="1" spans="1:5">
      <c r="A483" s="7"/>
      <c r="B483" s="7"/>
      <c r="C483" s="29"/>
      <c r="D483" s="7"/>
      <c r="E483" s="7"/>
    </row>
    <row r="484" ht="22.5" customHeight="1" spans="1:5">
      <c r="A484" s="7"/>
      <c r="B484" s="7"/>
      <c r="C484" s="29"/>
      <c r="D484" s="7"/>
      <c r="E484" s="7"/>
    </row>
    <row r="485" ht="22.5" customHeight="1" spans="1:5">
      <c r="A485" s="7"/>
      <c r="B485" s="7"/>
      <c r="C485" s="29"/>
      <c r="D485" s="7"/>
      <c r="E485" s="7"/>
    </row>
    <row r="486" ht="22.5" customHeight="1" spans="1:5">
      <c r="A486" s="7"/>
      <c r="B486" s="7"/>
      <c r="C486" s="29"/>
      <c r="D486" s="7"/>
      <c r="E486" s="7"/>
    </row>
    <row r="487" ht="22.5" customHeight="1" spans="1:5">
      <c r="A487" s="7"/>
      <c r="B487" s="7"/>
      <c r="C487" s="29"/>
      <c r="D487" s="7"/>
      <c r="E487" s="7"/>
    </row>
    <row r="488" ht="22.5" customHeight="1" spans="1:5">
      <c r="A488" s="7"/>
      <c r="B488" s="7"/>
      <c r="C488" s="29"/>
      <c r="D488" s="7"/>
      <c r="E488" s="7"/>
    </row>
    <row r="489" ht="22.5" customHeight="1" spans="1:5">
      <c r="A489" s="7"/>
      <c r="B489" s="7"/>
      <c r="C489" s="29"/>
      <c r="D489" s="7"/>
      <c r="E489" s="7"/>
    </row>
    <row r="490" ht="22.5" customHeight="1" spans="1:5">
      <c r="A490" s="7"/>
      <c r="B490" s="7"/>
      <c r="C490" s="29"/>
      <c r="D490" s="7"/>
      <c r="E490" s="7"/>
    </row>
    <row r="491" ht="22.5" customHeight="1" spans="1:5">
      <c r="A491" s="7"/>
      <c r="B491" s="7"/>
      <c r="C491" s="29"/>
      <c r="D491" s="7"/>
      <c r="E491" s="7"/>
    </row>
    <row r="492" ht="22.5" customHeight="1" spans="1:5">
      <c r="A492" s="7"/>
      <c r="B492" s="7"/>
      <c r="C492" s="29"/>
      <c r="D492" s="7"/>
      <c r="E492" s="7"/>
    </row>
    <row r="493" ht="22.5" customHeight="1" spans="1:5">
      <c r="A493" s="7"/>
      <c r="B493" s="7"/>
      <c r="C493" s="29"/>
      <c r="D493" s="7"/>
      <c r="E493" s="7"/>
    </row>
    <row r="494" ht="22.5" customHeight="1" spans="1:5">
      <c r="A494" s="7"/>
      <c r="B494" s="7"/>
      <c r="C494" s="29"/>
      <c r="D494" s="7"/>
      <c r="E494" s="7"/>
    </row>
    <row r="495" ht="22.5" customHeight="1" spans="1:5">
      <c r="A495" s="7"/>
      <c r="B495" s="7"/>
      <c r="C495" s="29"/>
      <c r="D495" s="7"/>
      <c r="E495" s="7"/>
    </row>
    <row r="496" ht="22.5" customHeight="1" spans="1:5">
      <c r="A496" s="7"/>
      <c r="B496" s="7"/>
      <c r="C496" s="29"/>
      <c r="D496" s="7"/>
      <c r="E496" s="7"/>
    </row>
    <row r="497" ht="22.5" customHeight="1" spans="1:5">
      <c r="A497" s="7"/>
      <c r="B497" s="7"/>
      <c r="C497" s="29"/>
      <c r="D497" s="7"/>
      <c r="E497" s="7"/>
    </row>
    <row r="498" ht="22.5" customHeight="1" spans="1:5">
      <c r="A498" s="7"/>
      <c r="B498" s="7"/>
      <c r="C498" s="29"/>
      <c r="D498" s="7"/>
      <c r="E498" s="7"/>
    </row>
    <row r="499" ht="22.5" customHeight="1" spans="1:5">
      <c r="A499" s="7"/>
      <c r="B499" s="7"/>
      <c r="C499" s="29"/>
      <c r="D499" s="7"/>
      <c r="E499" s="7"/>
    </row>
    <row r="500" ht="22.5" customHeight="1" spans="1:5">
      <c r="A500" s="7"/>
      <c r="B500" s="7"/>
      <c r="C500" s="29"/>
      <c r="D500" s="7"/>
      <c r="E500" s="7"/>
    </row>
    <row r="501" ht="22.5" customHeight="1" spans="1:5">
      <c r="A501" s="7"/>
      <c r="B501" s="7"/>
      <c r="C501" s="29"/>
      <c r="D501" s="7"/>
      <c r="E501" s="7"/>
    </row>
    <row r="502" ht="22.5" customHeight="1" spans="1:5">
      <c r="A502" s="7"/>
      <c r="B502" s="7"/>
      <c r="C502" s="29"/>
      <c r="D502" s="7"/>
      <c r="E502" s="7"/>
    </row>
    <row r="503" ht="22.5" customHeight="1" spans="1:5">
      <c r="A503" s="7"/>
      <c r="B503" s="7"/>
      <c r="C503" s="29"/>
      <c r="D503" s="7"/>
      <c r="E503" s="7"/>
    </row>
    <row r="504" ht="22.5" customHeight="1" spans="1:5">
      <c r="A504" s="7"/>
      <c r="B504" s="7"/>
      <c r="C504" s="29"/>
      <c r="D504" s="7"/>
      <c r="E504" s="7"/>
    </row>
    <row r="505" ht="22.5" customHeight="1" spans="1:5">
      <c r="A505" s="7"/>
      <c r="B505" s="7"/>
      <c r="C505" s="29"/>
      <c r="D505" s="7"/>
      <c r="E505" s="7"/>
    </row>
    <row r="506" ht="22.5" customHeight="1" spans="1:5">
      <c r="A506" s="7"/>
      <c r="B506" s="7"/>
      <c r="C506" s="29"/>
      <c r="D506" s="7"/>
      <c r="E506" s="7"/>
    </row>
    <row r="507" ht="22.5" customHeight="1" spans="1:5">
      <c r="A507" s="7"/>
      <c r="B507" s="7"/>
      <c r="C507" s="29"/>
      <c r="D507" s="7"/>
      <c r="E507" s="7"/>
    </row>
    <row r="508" ht="22.5" customHeight="1" spans="1:5">
      <c r="A508" s="7"/>
      <c r="B508" s="7"/>
      <c r="C508" s="29"/>
      <c r="D508" s="7"/>
      <c r="E508" s="7"/>
    </row>
    <row r="509" ht="22.5" customHeight="1" spans="1:5">
      <c r="A509" s="7"/>
      <c r="B509" s="7"/>
      <c r="C509" s="29"/>
      <c r="D509" s="7"/>
      <c r="E509" s="7"/>
    </row>
    <row r="510" ht="22.5" customHeight="1" spans="1:5">
      <c r="A510" s="7"/>
      <c r="B510" s="7"/>
      <c r="C510" s="29"/>
      <c r="D510" s="7"/>
      <c r="E510" s="7"/>
    </row>
    <row r="511" ht="22.5" customHeight="1" spans="1:5">
      <c r="A511" s="7"/>
      <c r="B511" s="7"/>
      <c r="C511" s="29"/>
      <c r="D511" s="7"/>
      <c r="E511" s="7"/>
    </row>
    <row r="512" ht="22.5" customHeight="1" spans="1:5">
      <c r="A512" s="7"/>
      <c r="B512" s="7"/>
      <c r="C512" s="29"/>
      <c r="D512" s="7"/>
      <c r="E512" s="7"/>
    </row>
    <row r="513" ht="22.5" customHeight="1" spans="1:5">
      <c r="A513" s="7"/>
      <c r="B513" s="7"/>
      <c r="C513" s="29"/>
      <c r="D513" s="7"/>
      <c r="E513" s="7"/>
    </row>
    <row r="514" ht="22.5" customHeight="1" spans="1:5">
      <c r="A514" s="7"/>
      <c r="B514" s="7"/>
      <c r="C514" s="29"/>
      <c r="D514" s="7"/>
      <c r="E514" s="7"/>
    </row>
    <row r="515" ht="22.5" customHeight="1" spans="1:5">
      <c r="A515" s="7"/>
      <c r="B515" s="7"/>
      <c r="C515" s="29"/>
      <c r="D515" s="7"/>
      <c r="E515" s="7"/>
    </row>
    <row r="516" ht="22.5" customHeight="1" spans="1:5">
      <c r="A516" s="7"/>
      <c r="B516" s="7"/>
      <c r="C516" s="29"/>
      <c r="D516" s="7"/>
      <c r="E516" s="7"/>
    </row>
    <row r="517" ht="22.5" customHeight="1" spans="1:5">
      <c r="A517" s="7"/>
      <c r="B517" s="7"/>
      <c r="C517" s="29"/>
      <c r="D517" s="7"/>
      <c r="E517" s="7"/>
    </row>
    <row r="518" ht="22.5" customHeight="1" spans="1:5">
      <c r="A518" s="7"/>
      <c r="B518" s="7"/>
      <c r="C518" s="29"/>
      <c r="D518" s="7"/>
      <c r="E518" s="7"/>
    </row>
    <row r="519" ht="22.5" customHeight="1" spans="1:5">
      <c r="A519" s="7"/>
      <c r="B519" s="7"/>
      <c r="C519" s="29"/>
      <c r="D519" s="7"/>
      <c r="E519" s="7"/>
    </row>
    <row r="520" ht="22.5" customHeight="1" spans="1:5">
      <c r="A520" s="7"/>
      <c r="B520" s="7"/>
      <c r="C520" s="29"/>
      <c r="D520" s="7"/>
      <c r="E520" s="7"/>
    </row>
    <row r="521" ht="22.5" customHeight="1" spans="1:5">
      <c r="A521" s="7"/>
      <c r="B521" s="7"/>
      <c r="C521" s="29"/>
      <c r="D521" s="7"/>
      <c r="E521" s="7"/>
    </row>
    <row r="522" ht="22.5" customHeight="1" spans="1:5">
      <c r="A522" s="7"/>
      <c r="B522" s="7"/>
      <c r="C522" s="29"/>
      <c r="D522" s="7"/>
      <c r="E522" s="7"/>
    </row>
    <row r="523" ht="22.5" customHeight="1" spans="1:5">
      <c r="A523" s="7"/>
      <c r="B523" s="7"/>
      <c r="C523" s="29"/>
      <c r="D523" s="7"/>
      <c r="E523" s="7"/>
    </row>
    <row r="524" ht="22.5" customHeight="1" spans="1:5">
      <c r="A524" s="7"/>
      <c r="B524" s="7"/>
      <c r="C524" s="29"/>
      <c r="D524" s="7"/>
      <c r="E524" s="7"/>
    </row>
    <row r="525" ht="22.5" customHeight="1" spans="1:5">
      <c r="A525" s="7"/>
      <c r="B525" s="7"/>
      <c r="C525" s="29"/>
      <c r="D525" s="7"/>
      <c r="E525" s="7"/>
    </row>
    <row r="526" ht="22.5" customHeight="1" spans="1:5">
      <c r="A526" s="7"/>
      <c r="B526" s="7"/>
      <c r="C526" s="29"/>
      <c r="D526" s="7"/>
      <c r="E526" s="7"/>
    </row>
    <row r="527" ht="22.5" customHeight="1" spans="1:5">
      <c r="A527" s="7"/>
      <c r="B527" s="7"/>
      <c r="C527" s="29"/>
      <c r="D527" s="7"/>
      <c r="E527" s="7"/>
    </row>
    <row r="528" ht="22.5" customHeight="1" spans="1:5">
      <c r="A528" s="7"/>
      <c r="B528" s="7"/>
      <c r="C528" s="29"/>
      <c r="D528" s="7"/>
      <c r="E528" s="7"/>
    </row>
    <row r="529" ht="22.5" customHeight="1" spans="1:5">
      <c r="A529" s="7"/>
      <c r="B529" s="7"/>
      <c r="C529" s="29"/>
      <c r="D529" s="7"/>
      <c r="E529" s="7"/>
    </row>
    <row r="530" ht="22.5" customHeight="1" spans="1:5">
      <c r="A530" s="7"/>
      <c r="B530" s="7"/>
      <c r="C530" s="29"/>
      <c r="D530" s="7"/>
      <c r="E530" s="7"/>
    </row>
    <row r="531" ht="22.5" customHeight="1" spans="1:5">
      <c r="A531" s="7"/>
      <c r="B531" s="7"/>
      <c r="C531" s="29"/>
      <c r="D531" s="7"/>
      <c r="E531" s="7"/>
    </row>
    <row r="532" ht="22.5" customHeight="1" spans="1:5">
      <c r="A532" s="7"/>
      <c r="B532" s="7"/>
      <c r="C532" s="29"/>
      <c r="D532" s="7"/>
      <c r="E532" s="7"/>
    </row>
    <row r="533" ht="22.5" customHeight="1" spans="1:5">
      <c r="A533" s="7"/>
      <c r="B533" s="7"/>
      <c r="C533" s="29"/>
      <c r="D533" s="7"/>
      <c r="E533" s="7"/>
    </row>
    <row r="534" ht="22.5" customHeight="1" spans="1:5">
      <c r="A534" s="7"/>
      <c r="B534" s="7"/>
      <c r="C534" s="29"/>
      <c r="D534" s="7"/>
      <c r="E534" s="7"/>
    </row>
    <row r="535" ht="22.5" customHeight="1" spans="1:5">
      <c r="A535" s="7"/>
      <c r="B535" s="7"/>
      <c r="C535" s="29"/>
      <c r="D535" s="7"/>
      <c r="E535" s="7"/>
    </row>
    <row r="536" ht="22.5" customHeight="1" spans="1:5">
      <c r="A536" s="7"/>
      <c r="B536" s="7"/>
      <c r="C536" s="29"/>
      <c r="D536" s="7"/>
      <c r="E536" s="7"/>
    </row>
    <row r="537" ht="22.5" customHeight="1" spans="1:5">
      <c r="A537" s="7"/>
      <c r="B537" s="7"/>
      <c r="C537" s="29"/>
      <c r="D537" s="7"/>
      <c r="E537" s="7"/>
    </row>
    <row r="538" ht="22.5" customHeight="1" spans="1:5">
      <c r="A538" s="7"/>
      <c r="B538" s="7"/>
      <c r="C538" s="29"/>
      <c r="D538" s="7"/>
      <c r="E538" s="7"/>
    </row>
    <row r="539" ht="22.5" customHeight="1" spans="1:5">
      <c r="A539" s="7"/>
      <c r="B539" s="7"/>
      <c r="C539" s="29"/>
      <c r="D539" s="7"/>
      <c r="E539" s="7"/>
    </row>
    <row r="540" ht="22.5" customHeight="1" spans="1:5">
      <c r="A540" s="7"/>
      <c r="B540" s="7"/>
      <c r="C540" s="29"/>
      <c r="D540" s="7"/>
      <c r="E540" s="7"/>
    </row>
    <row r="541" ht="22.5" customHeight="1" spans="1:5">
      <c r="A541" s="7"/>
      <c r="B541" s="7"/>
      <c r="C541" s="29"/>
      <c r="D541" s="7"/>
      <c r="E541" s="7"/>
    </row>
    <row r="542" ht="22.5" customHeight="1" spans="1:5">
      <c r="A542" s="7"/>
      <c r="B542" s="7"/>
      <c r="C542" s="29"/>
      <c r="D542" s="7"/>
      <c r="E542" s="7"/>
    </row>
    <row r="543" ht="22.5" customHeight="1" spans="1:5">
      <c r="A543" s="7"/>
      <c r="B543" s="7"/>
      <c r="C543" s="29"/>
      <c r="D543" s="7"/>
      <c r="E543" s="7"/>
    </row>
    <row r="544" ht="22.5" customHeight="1" spans="1:5">
      <c r="A544" s="7"/>
      <c r="B544" s="7"/>
      <c r="C544" s="29"/>
      <c r="D544" s="7"/>
      <c r="E544" s="7"/>
    </row>
    <row r="545" ht="22.5" customHeight="1" spans="1:5">
      <c r="A545" s="7"/>
      <c r="B545" s="7"/>
      <c r="C545" s="29"/>
      <c r="D545" s="7"/>
      <c r="E545" s="7"/>
    </row>
    <row r="546" ht="22.5" customHeight="1" spans="1:5">
      <c r="A546" s="7"/>
      <c r="B546" s="7"/>
      <c r="C546" s="29"/>
      <c r="D546" s="7"/>
      <c r="E546" s="7"/>
    </row>
    <row r="547" ht="22.5" customHeight="1" spans="1:5">
      <c r="A547" s="7"/>
      <c r="B547" s="7"/>
      <c r="C547" s="29"/>
      <c r="D547" s="7"/>
      <c r="E547" s="7"/>
    </row>
    <row r="548" ht="22.5" customHeight="1" spans="1:5">
      <c r="A548" s="7"/>
      <c r="B548" s="7"/>
      <c r="C548" s="29"/>
      <c r="D548" s="7"/>
      <c r="E548" s="7"/>
    </row>
    <row r="549" ht="22.5" customHeight="1" spans="1:5">
      <c r="A549" s="7"/>
      <c r="B549" s="7"/>
      <c r="C549" s="29"/>
      <c r="D549" s="7"/>
      <c r="E549" s="7"/>
    </row>
    <row r="550" ht="22.5" customHeight="1" spans="1:5">
      <c r="A550" s="7"/>
      <c r="B550" s="7"/>
      <c r="C550" s="29"/>
      <c r="D550" s="7"/>
      <c r="E550" s="7"/>
    </row>
    <row r="551" ht="22.5" customHeight="1" spans="1:5">
      <c r="A551" s="7"/>
      <c r="B551" s="7"/>
      <c r="C551" s="29"/>
      <c r="D551" s="7"/>
      <c r="E551" s="7"/>
    </row>
    <row r="552" ht="22.5" customHeight="1" spans="1:5">
      <c r="A552" s="7"/>
      <c r="B552" s="7"/>
      <c r="C552" s="29"/>
      <c r="D552" s="7"/>
      <c r="E552" s="7"/>
    </row>
    <row r="553" ht="22.5" customHeight="1" spans="1:5">
      <c r="A553" s="7"/>
      <c r="B553" s="7"/>
      <c r="C553" s="29"/>
      <c r="D553" s="7"/>
      <c r="E553" s="7"/>
    </row>
    <row r="554" ht="22.5" customHeight="1" spans="1:5">
      <c r="A554" s="7"/>
      <c r="B554" s="7"/>
      <c r="C554" s="29"/>
      <c r="D554" s="7"/>
      <c r="E554" s="7"/>
    </row>
    <row r="555" ht="22.5" customHeight="1" spans="1:5">
      <c r="A555" s="7"/>
      <c r="B555" s="7"/>
      <c r="C555" s="29"/>
      <c r="D555" s="7"/>
      <c r="E555" s="7"/>
    </row>
    <row r="556" ht="22.5" customHeight="1" spans="1:5">
      <c r="A556" s="7"/>
      <c r="B556" s="7"/>
      <c r="C556" s="29"/>
      <c r="D556" s="7"/>
      <c r="E556" s="7"/>
    </row>
    <row r="557" ht="22.5" customHeight="1" spans="1:5">
      <c r="A557" s="7"/>
      <c r="B557" s="7"/>
      <c r="C557" s="29"/>
      <c r="D557" s="7"/>
      <c r="E557" s="7"/>
    </row>
    <row r="558" ht="22.5" customHeight="1" spans="1:5">
      <c r="A558" s="7"/>
      <c r="B558" s="7"/>
      <c r="C558" s="29"/>
      <c r="D558" s="7"/>
      <c r="E558" s="7"/>
    </row>
    <row r="559" ht="22.5" customHeight="1" spans="1:5">
      <c r="A559" s="7"/>
      <c r="B559" s="7"/>
      <c r="C559" s="29"/>
      <c r="D559" s="7"/>
      <c r="E559" s="7"/>
    </row>
    <row r="560" ht="22.5" customHeight="1" spans="1:5">
      <c r="A560" s="7"/>
      <c r="B560" s="7"/>
      <c r="C560" s="29"/>
      <c r="D560" s="7"/>
      <c r="E560" s="7"/>
    </row>
    <row r="561" ht="22.5" customHeight="1" spans="1:5">
      <c r="A561" s="7"/>
      <c r="B561" s="7"/>
      <c r="C561" s="29"/>
      <c r="D561" s="7"/>
      <c r="E561" s="7"/>
    </row>
    <row r="562" ht="22.5" customHeight="1" spans="1:5">
      <c r="A562" s="7"/>
      <c r="B562" s="7"/>
      <c r="C562" s="29"/>
      <c r="D562" s="7"/>
      <c r="E562" s="7"/>
    </row>
    <row r="563" ht="22.5" customHeight="1" spans="1:5">
      <c r="A563" s="7"/>
      <c r="B563" s="7"/>
      <c r="C563" s="29"/>
      <c r="D563" s="7"/>
      <c r="E563" s="7"/>
    </row>
    <row r="564" ht="22.5" customHeight="1" spans="1:5">
      <c r="A564" s="7"/>
      <c r="B564" s="7"/>
      <c r="C564" s="29"/>
      <c r="D564" s="7"/>
      <c r="E564" s="7"/>
    </row>
    <row r="565" ht="22.5" customHeight="1" spans="1:5">
      <c r="A565" s="7"/>
      <c r="B565" s="7"/>
      <c r="C565" s="29"/>
      <c r="D565" s="7"/>
      <c r="E565" s="7"/>
    </row>
    <row r="566" ht="22.5" customHeight="1" spans="1:5">
      <c r="A566" s="7"/>
      <c r="B566" s="7"/>
      <c r="C566" s="29"/>
      <c r="D566" s="7"/>
      <c r="E566" s="7"/>
    </row>
    <row r="567" ht="22.5" customHeight="1" spans="1:5">
      <c r="A567" s="7"/>
      <c r="B567" s="7"/>
      <c r="C567" s="29"/>
      <c r="D567" s="7"/>
      <c r="E567" s="7"/>
    </row>
    <row r="568" ht="22.5" customHeight="1" spans="1:5">
      <c r="A568" s="7"/>
      <c r="B568" s="7"/>
      <c r="C568" s="29"/>
      <c r="D568" s="7"/>
      <c r="E568" s="7"/>
    </row>
    <row r="569" ht="22.5" customHeight="1" spans="1:5">
      <c r="A569" s="7"/>
      <c r="B569" s="7"/>
      <c r="C569" s="29"/>
      <c r="D569" s="7"/>
      <c r="E569" s="7"/>
    </row>
    <row r="570" ht="22.5" customHeight="1" spans="1:5">
      <c r="A570" s="7"/>
      <c r="B570" s="7"/>
      <c r="C570" s="29"/>
      <c r="D570" s="7"/>
      <c r="E570" s="7"/>
    </row>
    <row r="571" ht="22.5" customHeight="1" spans="1:5">
      <c r="A571" s="7"/>
      <c r="B571" s="7"/>
      <c r="C571" s="29"/>
      <c r="D571" s="7"/>
      <c r="E571" s="7"/>
    </row>
    <row r="572" ht="22.5" customHeight="1" spans="1:5">
      <c r="A572" s="7"/>
      <c r="B572" s="7"/>
      <c r="C572" s="29"/>
      <c r="D572" s="7"/>
      <c r="E572" s="7"/>
    </row>
    <row r="573" ht="22.5" customHeight="1" spans="1:5">
      <c r="A573" s="7"/>
      <c r="B573" s="7"/>
      <c r="C573" s="29"/>
      <c r="D573" s="7"/>
      <c r="E573" s="7"/>
    </row>
    <row r="574" ht="22.5" customHeight="1" spans="1:5">
      <c r="A574" s="7"/>
      <c r="B574" s="7"/>
      <c r="C574" s="29"/>
      <c r="D574" s="7"/>
      <c r="E574" s="7"/>
    </row>
    <row r="575" ht="22.5" customHeight="1" spans="1:5">
      <c r="A575" s="7"/>
      <c r="B575" s="7"/>
      <c r="C575" s="29"/>
      <c r="D575" s="7"/>
      <c r="E575" s="7"/>
    </row>
    <row r="576" ht="22.5" customHeight="1" spans="1:5">
      <c r="A576" s="7"/>
      <c r="B576" s="7"/>
      <c r="C576" s="29"/>
      <c r="D576" s="7"/>
      <c r="E576" s="7"/>
    </row>
    <row r="577" ht="22.5" customHeight="1" spans="1:5">
      <c r="A577" s="7"/>
      <c r="B577" s="7"/>
      <c r="C577" s="29"/>
      <c r="D577" s="7"/>
      <c r="E577" s="7"/>
    </row>
    <row r="578" ht="22.5" customHeight="1" spans="1:5">
      <c r="A578" s="7"/>
      <c r="B578" s="7"/>
      <c r="C578" s="29"/>
      <c r="D578" s="7"/>
      <c r="E578" s="7"/>
    </row>
    <row r="579" ht="22.5" customHeight="1" spans="1:5">
      <c r="A579" s="7"/>
      <c r="B579" s="7"/>
      <c r="C579" s="29"/>
      <c r="D579" s="7"/>
      <c r="E579" s="7"/>
    </row>
    <row r="580" ht="22.5" customHeight="1" spans="1:5">
      <c r="A580" s="7"/>
      <c r="B580" s="7"/>
      <c r="C580" s="29"/>
      <c r="D580" s="7"/>
      <c r="E580" s="7"/>
    </row>
    <row r="581" ht="22.5" customHeight="1" spans="1:5">
      <c r="A581" s="7"/>
      <c r="B581" s="7"/>
      <c r="C581" s="29"/>
      <c r="D581" s="7"/>
      <c r="E581" s="7"/>
    </row>
    <row r="582" ht="22.5" customHeight="1" spans="1:5">
      <c r="A582" s="7"/>
      <c r="B582" s="7"/>
      <c r="C582" s="29"/>
      <c r="D582" s="7"/>
      <c r="E582" s="7"/>
    </row>
    <row r="583" ht="22.5" customHeight="1" spans="1:5">
      <c r="A583" s="7"/>
      <c r="B583" s="7"/>
      <c r="C583" s="29"/>
      <c r="D583" s="7"/>
      <c r="E583" s="7"/>
    </row>
    <row r="584" ht="22.5" customHeight="1" spans="1:5">
      <c r="A584" s="7"/>
      <c r="B584" s="7"/>
      <c r="C584" s="29"/>
      <c r="D584" s="7"/>
      <c r="E584" s="7"/>
    </row>
    <row r="585" ht="22.5" customHeight="1" spans="1:5">
      <c r="A585" s="7"/>
      <c r="B585" s="7"/>
      <c r="C585" s="29"/>
      <c r="D585" s="7"/>
      <c r="E585" s="7"/>
    </row>
    <row r="586" ht="22.5" customHeight="1" spans="1:5">
      <c r="A586" s="7"/>
      <c r="B586" s="7"/>
      <c r="C586" s="29"/>
      <c r="D586" s="7"/>
      <c r="E586" s="7"/>
    </row>
    <row r="587" ht="22.5" customHeight="1" spans="1:5">
      <c r="A587" s="7"/>
      <c r="B587" s="7"/>
      <c r="C587" s="29"/>
      <c r="D587" s="7"/>
      <c r="E587" s="7"/>
    </row>
    <row r="588" ht="22.5" customHeight="1" spans="1:5">
      <c r="A588" s="7"/>
      <c r="B588" s="7"/>
      <c r="C588" s="29"/>
      <c r="D588" s="7"/>
      <c r="E588" s="7"/>
    </row>
    <row r="589" ht="22.5" customHeight="1" spans="1:5">
      <c r="A589" s="7"/>
      <c r="B589" s="7"/>
      <c r="C589" s="29"/>
      <c r="D589" s="7"/>
      <c r="E589" s="7"/>
    </row>
    <row r="590" ht="22.5" customHeight="1" spans="1:5">
      <c r="A590" s="7"/>
      <c r="B590" s="7"/>
      <c r="C590" s="29"/>
      <c r="D590" s="7"/>
      <c r="E590" s="7"/>
    </row>
    <row r="591" ht="22.5" customHeight="1" spans="1:5">
      <c r="A591" s="7"/>
      <c r="B591" s="7"/>
      <c r="C591" s="29"/>
      <c r="D591" s="7"/>
      <c r="E591" s="7"/>
    </row>
    <row r="592" ht="22.5" customHeight="1" spans="1:5">
      <c r="A592" s="7"/>
      <c r="B592" s="7"/>
      <c r="C592" s="29"/>
      <c r="D592" s="7"/>
      <c r="E592" s="7"/>
    </row>
    <row r="593" ht="22.5" customHeight="1" spans="1:5">
      <c r="A593" s="7"/>
      <c r="B593" s="7"/>
      <c r="C593" s="29"/>
      <c r="D593" s="7"/>
      <c r="E593" s="7"/>
    </row>
    <row r="594" ht="22.5" customHeight="1" spans="1:5">
      <c r="A594" s="7"/>
      <c r="B594" s="7"/>
      <c r="C594" s="29"/>
      <c r="D594" s="7"/>
      <c r="E594" s="7"/>
    </row>
    <row r="595" ht="22.5" customHeight="1" spans="1:5">
      <c r="A595" s="7"/>
      <c r="B595" s="7"/>
      <c r="C595" s="29"/>
      <c r="D595" s="7"/>
      <c r="E595" s="7"/>
    </row>
    <row r="596" ht="22.5" customHeight="1" spans="1:5">
      <c r="A596" s="7"/>
      <c r="B596" s="7"/>
      <c r="C596" s="29"/>
      <c r="D596" s="7"/>
      <c r="E596" s="7"/>
    </row>
    <row r="597" ht="22.5" customHeight="1" spans="1:5">
      <c r="A597" s="7"/>
      <c r="B597" s="7"/>
      <c r="C597" s="29"/>
      <c r="D597" s="7"/>
      <c r="E597" s="7"/>
    </row>
    <row r="598" ht="22.5" customHeight="1" spans="1:5">
      <c r="A598" s="7"/>
      <c r="B598" s="7"/>
      <c r="C598" s="29"/>
      <c r="D598" s="7"/>
      <c r="E598" s="7"/>
    </row>
    <row r="599" ht="22.5" customHeight="1" spans="1:5">
      <c r="A599" s="7"/>
      <c r="B599" s="7"/>
      <c r="C599" s="29"/>
      <c r="D599" s="7"/>
      <c r="E599" s="7"/>
    </row>
    <row r="600" ht="22.5" customHeight="1" spans="1:5">
      <c r="A600" s="7"/>
      <c r="B600" s="7"/>
      <c r="C600" s="29"/>
      <c r="D600" s="7"/>
      <c r="E600" s="7"/>
    </row>
    <row r="601" ht="22.5" customHeight="1" spans="1:5">
      <c r="A601" s="7"/>
      <c r="B601" s="7"/>
      <c r="C601" s="29"/>
      <c r="D601" s="7"/>
      <c r="E601" s="7"/>
    </row>
    <row r="602" ht="22.5" customHeight="1" spans="1:5">
      <c r="A602" s="7"/>
      <c r="B602" s="7"/>
      <c r="C602" s="29"/>
      <c r="D602" s="7"/>
      <c r="E602" s="7"/>
    </row>
    <row r="603" ht="22.5" customHeight="1" spans="1:5">
      <c r="A603" s="7"/>
      <c r="B603" s="7"/>
      <c r="C603" s="29"/>
      <c r="D603" s="7"/>
      <c r="E603" s="7"/>
    </row>
    <row r="604" ht="22.5" customHeight="1" spans="1:5">
      <c r="A604" s="7"/>
      <c r="B604" s="7"/>
      <c r="C604" s="29"/>
      <c r="D604" s="7"/>
      <c r="E604" s="7"/>
    </row>
    <row r="605" ht="22.5" customHeight="1" spans="1:5">
      <c r="A605" s="7"/>
      <c r="B605" s="7"/>
      <c r="C605" s="29"/>
      <c r="D605" s="7"/>
      <c r="E605" s="7"/>
    </row>
    <row r="606" ht="22.5" customHeight="1" spans="1:5">
      <c r="A606" s="7"/>
      <c r="B606" s="7"/>
      <c r="C606" s="29"/>
      <c r="D606" s="7"/>
      <c r="E606" s="7"/>
    </row>
    <row r="607" ht="22.5" customHeight="1" spans="1:5">
      <c r="A607" s="7"/>
      <c r="B607" s="7"/>
      <c r="C607" s="29"/>
      <c r="D607" s="7"/>
      <c r="E607" s="7"/>
    </row>
    <row r="608" ht="22.5" customHeight="1" spans="1:5">
      <c r="A608" s="7"/>
      <c r="B608" s="7"/>
      <c r="C608" s="29"/>
      <c r="D608" s="7"/>
      <c r="E608" s="7"/>
    </row>
    <row r="609" ht="22.5" customHeight="1" spans="1:5">
      <c r="A609" s="7"/>
      <c r="B609" s="7"/>
      <c r="C609" s="29"/>
      <c r="D609" s="7"/>
      <c r="E609" s="7"/>
    </row>
    <row r="610" ht="22.5" customHeight="1" spans="1:5">
      <c r="A610" s="7"/>
      <c r="B610" s="7"/>
      <c r="C610" s="29"/>
      <c r="D610" s="7"/>
      <c r="E610" s="7"/>
    </row>
    <row r="611" ht="22.5" customHeight="1" spans="1:5">
      <c r="A611" s="7"/>
      <c r="B611" s="7"/>
      <c r="C611" s="29"/>
      <c r="D611" s="7"/>
      <c r="E611" s="7"/>
    </row>
    <row r="612" ht="22.5" customHeight="1" spans="1:5">
      <c r="A612" s="7"/>
      <c r="B612" s="7"/>
      <c r="C612" s="29"/>
      <c r="D612" s="7"/>
      <c r="E612" s="7"/>
    </row>
    <row r="613" ht="22.5" customHeight="1" spans="1:5">
      <c r="A613" s="7"/>
      <c r="B613" s="7"/>
      <c r="C613" s="29"/>
      <c r="D613" s="7"/>
      <c r="E613" s="7"/>
    </row>
    <row r="614" ht="22.5" customHeight="1" spans="1:5">
      <c r="A614" s="7"/>
      <c r="B614" s="7"/>
      <c r="C614" s="29"/>
      <c r="D614" s="7"/>
      <c r="E614" s="7"/>
    </row>
    <row r="615" ht="22.5" customHeight="1" spans="1:5">
      <c r="A615" s="7"/>
      <c r="B615" s="7"/>
      <c r="C615" s="29"/>
      <c r="D615" s="7"/>
      <c r="E615" s="7"/>
    </row>
    <row r="616" ht="22.5" customHeight="1" spans="1:5">
      <c r="A616" s="7"/>
      <c r="B616" s="7"/>
      <c r="C616" s="29"/>
      <c r="D616" s="7"/>
      <c r="E616" s="7"/>
    </row>
    <row r="617" ht="22.5" customHeight="1" spans="1:5">
      <c r="A617" s="7"/>
      <c r="B617" s="7"/>
      <c r="C617" s="29"/>
      <c r="D617" s="7"/>
      <c r="E617" s="7"/>
    </row>
    <row r="618" ht="22.5" customHeight="1" spans="1:5">
      <c r="A618" s="7"/>
      <c r="B618" s="7"/>
      <c r="C618" s="29"/>
      <c r="D618" s="7"/>
      <c r="E618" s="7"/>
    </row>
    <row r="619" ht="22.5" customHeight="1" spans="1:5">
      <c r="A619" s="7"/>
      <c r="B619" s="7"/>
      <c r="C619" s="29"/>
      <c r="D619" s="7"/>
      <c r="E619" s="7"/>
    </row>
    <row r="620" ht="22.5" customHeight="1" spans="1:5">
      <c r="A620" s="7"/>
      <c r="B620" s="7"/>
      <c r="C620" s="29"/>
      <c r="D620" s="7"/>
      <c r="E620" s="7"/>
    </row>
    <row r="621" ht="22.5" customHeight="1" spans="1:5">
      <c r="A621" s="7"/>
      <c r="B621" s="7"/>
      <c r="C621" s="29"/>
      <c r="D621" s="7"/>
      <c r="E621" s="7"/>
    </row>
    <row r="622" ht="22.5" customHeight="1" spans="1:5">
      <c r="A622" s="7"/>
      <c r="B622" s="7"/>
      <c r="C622" s="29"/>
      <c r="D622" s="7"/>
      <c r="E622" s="7"/>
    </row>
    <row r="623" ht="22.5" customHeight="1" spans="1:5">
      <c r="A623" s="7"/>
      <c r="B623" s="7"/>
      <c r="C623" s="29"/>
      <c r="D623" s="7"/>
      <c r="E623" s="7"/>
    </row>
    <row r="624" ht="22.5" customHeight="1" spans="1:5">
      <c r="A624" s="7"/>
      <c r="B624" s="7"/>
      <c r="C624" s="29"/>
      <c r="D624" s="7"/>
      <c r="E624" s="7"/>
    </row>
    <row r="625" ht="22.5" customHeight="1" spans="1:5">
      <c r="A625" s="7"/>
      <c r="B625" s="7"/>
      <c r="C625" s="29"/>
      <c r="D625" s="7"/>
      <c r="E625" s="7"/>
    </row>
    <row r="626" ht="22.5" customHeight="1" spans="1:5">
      <c r="A626" s="7"/>
      <c r="B626" s="7"/>
      <c r="C626" s="29"/>
      <c r="D626" s="7"/>
      <c r="E626" s="7"/>
    </row>
    <row r="627" ht="22.5" customHeight="1" spans="1:5">
      <c r="A627" s="7"/>
      <c r="B627" s="7"/>
      <c r="C627" s="29"/>
      <c r="D627" s="7"/>
      <c r="E627" s="7"/>
    </row>
    <row r="628" ht="22.5" customHeight="1" spans="1:5">
      <c r="A628" s="7"/>
      <c r="B628" s="7"/>
      <c r="C628" s="29"/>
      <c r="D628" s="7"/>
      <c r="E628" s="7"/>
    </row>
    <row r="629" ht="22.5" customHeight="1" spans="1:5">
      <c r="A629" s="7"/>
      <c r="B629" s="7"/>
      <c r="C629" s="29"/>
      <c r="D629" s="7"/>
      <c r="E629" s="7"/>
    </row>
    <row r="630" ht="22.5" customHeight="1" spans="1:5">
      <c r="A630" s="7"/>
      <c r="B630" s="7"/>
      <c r="C630" s="29"/>
      <c r="D630" s="7"/>
      <c r="E630" s="7"/>
    </row>
    <row r="631" ht="22.5" customHeight="1" spans="1:5">
      <c r="A631" s="7"/>
      <c r="B631" s="7"/>
      <c r="C631" s="29"/>
      <c r="D631" s="7"/>
      <c r="E631" s="7"/>
    </row>
    <row r="632" ht="22.5" customHeight="1" spans="1:5">
      <c r="A632" s="7"/>
      <c r="B632" s="7"/>
      <c r="C632" s="29"/>
      <c r="D632" s="7"/>
      <c r="E632" s="7"/>
    </row>
    <row r="633" ht="22.5" customHeight="1" spans="1:5">
      <c r="A633" s="7"/>
      <c r="B633" s="7"/>
      <c r="C633" s="29"/>
      <c r="D633" s="7"/>
      <c r="E633" s="7"/>
    </row>
    <row r="634" ht="22.5" customHeight="1" spans="1:5">
      <c r="A634" s="7"/>
      <c r="B634" s="7"/>
      <c r="C634" s="29"/>
      <c r="D634" s="7"/>
      <c r="E634" s="7"/>
    </row>
    <row r="635" ht="22.5" customHeight="1" spans="1:5">
      <c r="A635" s="7"/>
      <c r="B635" s="7"/>
      <c r="C635" s="29"/>
      <c r="D635" s="7"/>
      <c r="E635" s="7"/>
    </row>
    <row r="636" ht="22.5" customHeight="1" spans="1:5">
      <c r="A636" s="7"/>
      <c r="B636" s="7"/>
      <c r="C636" s="29"/>
      <c r="D636" s="7"/>
      <c r="E636" s="7"/>
    </row>
    <row r="637" ht="22.5" customHeight="1" spans="1:5">
      <c r="A637" s="7"/>
      <c r="B637" s="7"/>
      <c r="C637" s="29"/>
      <c r="D637" s="7"/>
      <c r="E637" s="7"/>
    </row>
    <row r="638" ht="22.5" customHeight="1" spans="1:5">
      <c r="A638" s="7"/>
      <c r="B638" s="7"/>
      <c r="C638" s="29"/>
      <c r="D638" s="7"/>
      <c r="E638" s="7"/>
    </row>
    <row r="639" ht="22.5" customHeight="1" spans="1:5">
      <c r="A639" s="7"/>
      <c r="B639" s="7"/>
      <c r="C639" s="29"/>
      <c r="D639" s="7"/>
      <c r="E639" s="7"/>
    </row>
    <row r="640" ht="22.5" customHeight="1" spans="1:5">
      <c r="A640" s="7"/>
      <c r="B640" s="7"/>
      <c r="C640" s="29"/>
      <c r="D640" s="7"/>
      <c r="E640" s="7"/>
    </row>
    <row r="641" ht="22.5" customHeight="1" spans="1:5">
      <c r="A641" s="7"/>
      <c r="B641" s="7"/>
      <c r="C641" s="29"/>
      <c r="D641" s="7"/>
      <c r="E641" s="7"/>
    </row>
    <row r="642" ht="22.5" customHeight="1" spans="1:5">
      <c r="A642" s="7"/>
      <c r="B642" s="7"/>
      <c r="C642" s="29"/>
      <c r="D642" s="7"/>
      <c r="E642" s="7"/>
    </row>
    <row r="643" ht="22.5" customHeight="1" spans="1:5">
      <c r="A643" s="7"/>
      <c r="B643" s="7"/>
      <c r="C643" s="29"/>
      <c r="D643" s="7"/>
      <c r="E643" s="7"/>
    </row>
    <row r="644" ht="22.5" customHeight="1" spans="1:5">
      <c r="A644" s="7"/>
      <c r="B644" s="7"/>
      <c r="C644" s="29"/>
      <c r="D644" s="7"/>
      <c r="E644" s="7"/>
    </row>
    <row r="645" ht="22.5" customHeight="1" spans="1:5">
      <c r="A645" s="7"/>
      <c r="B645" s="7"/>
      <c r="C645" s="29"/>
      <c r="D645" s="7"/>
      <c r="E645" s="7"/>
    </row>
    <row r="646" ht="22.5" customHeight="1" spans="1:5">
      <c r="A646" s="7"/>
      <c r="B646" s="7"/>
      <c r="C646" s="29"/>
      <c r="D646" s="7"/>
      <c r="E646" s="7"/>
    </row>
    <row r="647" ht="22.5" customHeight="1" spans="1:5">
      <c r="A647" s="7"/>
      <c r="B647" s="7"/>
      <c r="C647" s="29"/>
      <c r="D647" s="7"/>
      <c r="E647" s="7"/>
    </row>
    <row r="648" ht="22.5" customHeight="1" spans="1:5">
      <c r="A648" s="7"/>
      <c r="B648" s="7"/>
      <c r="C648" s="29"/>
      <c r="D648" s="7"/>
      <c r="E648" s="7"/>
    </row>
    <row r="649" ht="22.5" customHeight="1" spans="1:5">
      <c r="A649" s="7"/>
      <c r="B649" s="7"/>
      <c r="C649" s="29"/>
      <c r="D649" s="7"/>
      <c r="E649" s="7"/>
    </row>
    <row r="650" ht="22.5" customHeight="1" spans="1:5">
      <c r="A650" s="7"/>
      <c r="B650" s="7"/>
      <c r="C650" s="29"/>
      <c r="D650" s="7"/>
      <c r="E650" s="7"/>
    </row>
    <row r="651" ht="22.5" customHeight="1" spans="1:5">
      <c r="A651" s="7"/>
      <c r="B651" s="7"/>
      <c r="C651" s="29"/>
      <c r="D651" s="7"/>
      <c r="E651" s="7"/>
    </row>
    <row r="652" ht="22.5" customHeight="1" spans="1:5">
      <c r="A652" s="7"/>
      <c r="B652" s="7"/>
      <c r="C652" s="29"/>
      <c r="D652" s="7"/>
      <c r="E652" s="7"/>
    </row>
    <row r="653" ht="22.5" customHeight="1" spans="1:5">
      <c r="A653" s="7"/>
      <c r="B653" s="7"/>
      <c r="C653" s="29"/>
      <c r="D653" s="7"/>
      <c r="E653" s="7"/>
    </row>
    <row r="654" ht="22.5" customHeight="1" spans="1:5">
      <c r="A654" s="7"/>
      <c r="B654" s="7"/>
      <c r="C654" s="29"/>
      <c r="D654" s="7"/>
      <c r="E654" s="7"/>
    </row>
    <row r="655" ht="22.5" customHeight="1" spans="1:5">
      <c r="A655" s="7"/>
      <c r="B655" s="7"/>
      <c r="C655" s="29"/>
      <c r="D655" s="7"/>
      <c r="E655" s="7"/>
    </row>
    <row r="656" ht="22.5" customHeight="1" spans="1:5">
      <c r="A656" s="7"/>
      <c r="B656" s="7"/>
      <c r="C656" s="29"/>
      <c r="D656" s="7"/>
      <c r="E656" s="7"/>
    </row>
    <row r="657" ht="22.5" customHeight="1" spans="1:5">
      <c r="A657" s="7"/>
      <c r="B657" s="7"/>
      <c r="C657" s="29"/>
      <c r="D657" s="7"/>
      <c r="E657" s="7"/>
    </row>
    <row r="658" ht="22.5" customHeight="1" spans="1:5">
      <c r="A658" s="7"/>
      <c r="B658" s="7"/>
      <c r="C658" s="29"/>
      <c r="D658" s="7"/>
      <c r="E658" s="7"/>
    </row>
    <row r="659" ht="22.5" customHeight="1" spans="1:5">
      <c r="A659" s="7"/>
      <c r="B659" s="7"/>
      <c r="C659" s="29"/>
      <c r="D659" s="7"/>
      <c r="E659" s="7"/>
    </row>
    <row r="660" ht="22.5" customHeight="1" spans="1:5">
      <c r="A660" s="7"/>
      <c r="B660" s="7"/>
      <c r="C660" s="29"/>
      <c r="D660" s="7"/>
      <c r="E660" s="7"/>
    </row>
    <row r="661" ht="22.5" customHeight="1" spans="1:5">
      <c r="A661" s="7"/>
      <c r="B661" s="7"/>
      <c r="C661" s="29"/>
      <c r="D661" s="7"/>
      <c r="E661" s="7"/>
    </row>
    <row r="662" ht="22.5" customHeight="1" spans="1:5">
      <c r="A662" s="7"/>
      <c r="B662" s="7"/>
      <c r="C662" s="29"/>
      <c r="D662" s="7"/>
      <c r="E662" s="7"/>
    </row>
    <row r="663" ht="22.5" customHeight="1" spans="1:5">
      <c r="A663" s="7"/>
      <c r="B663" s="7"/>
      <c r="C663" s="29"/>
      <c r="D663" s="7"/>
      <c r="E663" s="7"/>
    </row>
    <row r="664" ht="22.5" customHeight="1" spans="1:5">
      <c r="A664" s="7"/>
      <c r="B664" s="7"/>
      <c r="C664" s="29"/>
      <c r="D664" s="7"/>
      <c r="E664" s="7"/>
    </row>
    <row r="665" ht="22.5" customHeight="1" spans="1:5">
      <c r="A665" s="7"/>
      <c r="B665" s="7"/>
      <c r="C665" s="29"/>
      <c r="D665" s="7"/>
      <c r="E665" s="7"/>
    </row>
    <row r="666" ht="22.5" customHeight="1" spans="1:5">
      <c r="A666" s="7"/>
      <c r="B666" s="7"/>
      <c r="C666" s="29"/>
      <c r="D666" s="7"/>
      <c r="E666" s="7"/>
    </row>
    <row r="667" ht="22.5" customHeight="1" spans="1:5">
      <c r="A667" s="7"/>
      <c r="B667" s="7"/>
      <c r="C667" s="29"/>
      <c r="D667" s="7"/>
      <c r="E667" s="7"/>
    </row>
    <row r="668" ht="22.5" customHeight="1" spans="1:5">
      <c r="A668" s="7"/>
      <c r="B668" s="7"/>
      <c r="C668" s="29"/>
      <c r="D668" s="7"/>
      <c r="E668" s="7"/>
    </row>
    <row r="669" ht="22.5" customHeight="1" spans="1:5">
      <c r="A669" s="7"/>
      <c r="B669" s="7"/>
      <c r="C669" s="29"/>
      <c r="D669" s="7"/>
      <c r="E669" s="7"/>
    </row>
    <row r="670" ht="22.5" customHeight="1" spans="1:5">
      <c r="A670" s="7"/>
      <c r="B670" s="7"/>
      <c r="C670" s="29"/>
      <c r="D670" s="7"/>
      <c r="E670" s="7"/>
    </row>
    <row r="671" ht="22.5" customHeight="1" spans="1:5">
      <c r="A671" s="7"/>
      <c r="B671" s="7"/>
      <c r="C671" s="29"/>
      <c r="D671" s="7"/>
      <c r="E671" s="7"/>
    </row>
    <row r="672" ht="22.5" customHeight="1" spans="1:5">
      <c r="A672" s="7"/>
      <c r="B672" s="7"/>
      <c r="C672" s="29"/>
      <c r="D672" s="7"/>
      <c r="E672" s="7"/>
    </row>
    <row r="673" ht="22.5" customHeight="1" spans="1:5">
      <c r="A673" s="7"/>
      <c r="B673" s="7"/>
      <c r="C673" s="29"/>
      <c r="D673" s="7"/>
      <c r="E673" s="7"/>
    </row>
    <row r="674" ht="22.5" customHeight="1" spans="1:5">
      <c r="A674" s="7"/>
      <c r="B674" s="7"/>
      <c r="C674" s="29"/>
      <c r="D674" s="7"/>
      <c r="E674" s="7"/>
    </row>
    <row r="675" ht="22.5" customHeight="1" spans="1:5">
      <c r="A675" s="7"/>
      <c r="B675" s="7"/>
      <c r="C675" s="29"/>
      <c r="D675" s="7"/>
      <c r="E675" s="7"/>
    </row>
    <row r="676" ht="22.5" customHeight="1" spans="1:5">
      <c r="A676" s="7"/>
      <c r="B676" s="7"/>
      <c r="C676" s="29"/>
      <c r="D676" s="7"/>
      <c r="E676" s="7"/>
    </row>
    <row r="677" ht="22.5" customHeight="1" spans="1:5">
      <c r="A677" s="7"/>
      <c r="B677" s="7"/>
      <c r="C677" s="29"/>
      <c r="D677" s="7"/>
      <c r="E677" s="7"/>
    </row>
    <row r="678" ht="22.5" customHeight="1" spans="1:5">
      <c r="A678" s="7"/>
      <c r="B678" s="7"/>
      <c r="C678" s="29"/>
      <c r="D678" s="7"/>
      <c r="E678" s="7"/>
    </row>
    <row r="679" ht="22.5" customHeight="1" spans="1:5">
      <c r="A679" s="7"/>
      <c r="B679" s="7"/>
      <c r="C679" s="29"/>
      <c r="D679" s="7"/>
      <c r="E679" s="7"/>
    </row>
    <row r="680" ht="22.5" customHeight="1" spans="1:5">
      <c r="A680" s="7"/>
      <c r="B680" s="7"/>
      <c r="C680" s="29"/>
      <c r="D680" s="7"/>
      <c r="E680" s="7"/>
    </row>
    <row r="681" ht="22.5" customHeight="1" spans="1:5">
      <c r="A681" s="7"/>
      <c r="B681" s="7"/>
      <c r="C681" s="29"/>
      <c r="D681" s="7"/>
      <c r="E681" s="7"/>
    </row>
    <row r="682" ht="22.5" customHeight="1" spans="1:5">
      <c r="A682" s="7"/>
      <c r="B682" s="7"/>
      <c r="C682" s="29"/>
      <c r="D682" s="7"/>
      <c r="E682" s="7"/>
    </row>
    <row r="683" ht="22.5" customHeight="1" spans="1:5">
      <c r="A683" s="7"/>
      <c r="B683" s="7"/>
      <c r="C683" s="29"/>
      <c r="D683" s="7"/>
      <c r="E683" s="7"/>
    </row>
    <row r="684" ht="22.5" customHeight="1" spans="1:5">
      <c r="A684" s="7"/>
      <c r="B684" s="7"/>
      <c r="C684" s="29"/>
      <c r="D684" s="7"/>
      <c r="E684" s="7"/>
    </row>
    <row r="685" ht="22.5" customHeight="1" spans="1:5">
      <c r="A685" s="7"/>
      <c r="B685" s="7"/>
      <c r="C685" s="29"/>
      <c r="D685" s="7"/>
      <c r="E685" s="7"/>
    </row>
    <row r="686" ht="22.5" customHeight="1" spans="1:5">
      <c r="A686" s="7"/>
      <c r="B686" s="7"/>
      <c r="C686" s="29"/>
      <c r="D686" s="7"/>
      <c r="E686" s="7"/>
    </row>
    <row r="687" ht="22.5" customHeight="1" spans="1:5">
      <c r="A687" s="7"/>
      <c r="B687" s="7"/>
      <c r="C687" s="29"/>
      <c r="D687" s="7"/>
      <c r="E687" s="7"/>
    </row>
    <row r="688" ht="22.5" customHeight="1" spans="1:5">
      <c r="A688" s="7"/>
      <c r="B688" s="7"/>
      <c r="C688" s="29"/>
      <c r="D688" s="7"/>
      <c r="E688" s="7"/>
    </row>
    <row r="689" ht="22.5" customHeight="1" spans="1:5">
      <c r="A689" s="7"/>
      <c r="B689" s="7"/>
      <c r="C689" s="29"/>
      <c r="D689" s="7"/>
      <c r="E689" s="7"/>
    </row>
    <row r="690" ht="22.5" customHeight="1" spans="1:5">
      <c r="A690" s="7"/>
      <c r="B690" s="7"/>
      <c r="C690" s="29"/>
      <c r="D690" s="7"/>
      <c r="E690" s="7"/>
    </row>
    <row r="691" ht="22.5" customHeight="1" spans="1:5">
      <c r="A691" s="7"/>
      <c r="B691" s="7"/>
      <c r="C691" s="29"/>
      <c r="D691" s="7"/>
      <c r="E691" s="7"/>
    </row>
    <row r="692" ht="22.5" customHeight="1" spans="1:5">
      <c r="A692" s="7"/>
      <c r="B692" s="7"/>
      <c r="C692" s="29"/>
      <c r="D692" s="7"/>
      <c r="E692" s="7"/>
    </row>
    <row r="693" ht="22.5" customHeight="1" spans="1:5">
      <c r="A693" s="7"/>
      <c r="B693" s="7"/>
      <c r="C693" s="29"/>
      <c r="D693" s="7"/>
      <c r="E693" s="7"/>
    </row>
    <row r="694" ht="22.5" customHeight="1" spans="1:5">
      <c r="A694" s="7"/>
      <c r="B694" s="7"/>
      <c r="C694" s="29"/>
      <c r="D694" s="7"/>
      <c r="E694" s="7"/>
    </row>
    <row r="695" ht="22.5" customHeight="1" spans="1:5">
      <c r="A695" s="7"/>
      <c r="B695" s="7"/>
      <c r="C695" s="29"/>
      <c r="D695" s="7"/>
      <c r="E695" s="7"/>
    </row>
    <row r="696" ht="22.5" customHeight="1" spans="1:5">
      <c r="A696" s="7"/>
      <c r="B696" s="7"/>
      <c r="C696" s="29"/>
      <c r="D696" s="7"/>
      <c r="E696" s="7"/>
    </row>
    <row r="697" ht="22.5" customHeight="1" spans="1:5">
      <c r="A697" s="7"/>
      <c r="B697" s="7"/>
      <c r="C697" s="29"/>
      <c r="D697" s="7"/>
      <c r="E697" s="7"/>
    </row>
    <row r="698" ht="22.5" customHeight="1" spans="1:5">
      <c r="A698" s="7"/>
      <c r="B698" s="7"/>
      <c r="C698" s="29"/>
      <c r="D698" s="7"/>
      <c r="E698" s="7"/>
    </row>
    <row r="699" ht="22.5" customHeight="1" spans="1:5">
      <c r="A699" s="7"/>
      <c r="B699" s="7"/>
      <c r="C699" s="29"/>
      <c r="D699" s="7"/>
      <c r="E699" s="7"/>
    </row>
    <row r="700" ht="22.5" customHeight="1" spans="1:5">
      <c r="A700" s="7"/>
      <c r="B700" s="7"/>
      <c r="C700" s="29"/>
      <c r="D700" s="7"/>
      <c r="E700" s="7"/>
    </row>
    <row r="701" ht="22.5" customHeight="1" spans="1:5">
      <c r="A701" s="7"/>
      <c r="B701" s="7"/>
      <c r="C701" s="29"/>
      <c r="D701" s="7"/>
      <c r="E701" s="7"/>
    </row>
    <row r="702" ht="22.5" customHeight="1" spans="1:5">
      <c r="A702" s="7"/>
      <c r="B702" s="7"/>
      <c r="C702" s="29"/>
      <c r="D702" s="7"/>
      <c r="E702" s="7"/>
    </row>
    <row r="703" ht="22.5" customHeight="1" spans="1:5">
      <c r="A703" s="7"/>
      <c r="B703" s="7"/>
      <c r="C703" s="29"/>
      <c r="D703" s="7"/>
      <c r="E703" s="7"/>
    </row>
    <row r="704" ht="22.5" customHeight="1" spans="1:5">
      <c r="A704" s="7"/>
      <c r="B704" s="7"/>
      <c r="C704" s="29"/>
      <c r="D704" s="7"/>
      <c r="E704" s="7"/>
    </row>
    <row r="705" ht="22.5" customHeight="1" spans="1:5">
      <c r="A705" s="7"/>
      <c r="B705" s="7"/>
      <c r="C705" s="29"/>
      <c r="D705" s="7"/>
      <c r="E705" s="7"/>
    </row>
    <row r="706" ht="22.5" customHeight="1" spans="1:5">
      <c r="A706" s="7"/>
      <c r="B706" s="7"/>
      <c r="C706" s="29"/>
      <c r="D706" s="7"/>
      <c r="E706" s="7"/>
    </row>
    <row r="707" ht="22.5" customHeight="1" spans="1:5">
      <c r="A707" s="7"/>
      <c r="B707" s="7"/>
      <c r="C707" s="29"/>
      <c r="D707" s="7"/>
      <c r="E707" s="7"/>
    </row>
    <row r="708" ht="22.5" customHeight="1" spans="1:5">
      <c r="A708" s="7"/>
      <c r="B708" s="7"/>
      <c r="C708" s="29"/>
      <c r="D708" s="7"/>
      <c r="E708" s="7"/>
    </row>
    <row r="709" ht="22.5" customHeight="1" spans="1:5">
      <c r="A709" s="7"/>
      <c r="B709" s="7"/>
      <c r="C709" s="29"/>
      <c r="D709" s="7"/>
      <c r="E709" s="7"/>
    </row>
    <row r="710" ht="22.5" customHeight="1" spans="1:5">
      <c r="A710" s="7"/>
      <c r="B710" s="7"/>
      <c r="C710" s="29"/>
      <c r="D710" s="7"/>
      <c r="E710" s="7"/>
    </row>
    <row r="711" ht="22.5" customHeight="1" spans="1:5">
      <c r="A711" s="7"/>
      <c r="B711" s="7"/>
      <c r="C711" s="29"/>
      <c r="D711" s="7"/>
      <c r="E711" s="7"/>
    </row>
    <row r="712" ht="22.5" customHeight="1" spans="1:5">
      <c r="A712" s="7"/>
      <c r="B712" s="7"/>
      <c r="C712" s="29"/>
      <c r="D712" s="7"/>
      <c r="E712" s="7"/>
    </row>
    <row r="713" ht="22.5" customHeight="1" spans="1:5">
      <c r="A713" s="7"/>
      <c r="B713" s="7"/>
      <c r="C713" s="29"/>
      <c r="D713" s="7"/>
      <c r="E713" s="7"/>
    </row>
    <row r="714" ht="22.5" customHeight="1" spans="1:5">
      <c r="A714" s="7"/>
      <c r="B714" s="7"/>
      <c r="C714" s="29"/>
      <c r="D714" s="7"/>
      <c r="E714" s="7"/>
    </row>
    <row r="715" ht="22.5" customHeight="1" spans="1:5">
      <c r="A715" s="7"/>
      <c r="B715" s="7"/>
      <c r="C715" s="29"/>
      <c r="D715" s="7"/>
      <c r="E715" s="7"/>
    </row>
    <row r="716" ht="22.5" customHeight="1" spans="1:5">
      <c r="A716" s="7"/>
      <c r="B716" s="7"/>
      <c r="C716" s="29"/>
      <c r="D716" s="7"/>
      <c r="E716" s="7"/>
    </row>
    <row r="717" ht="22.5" customHeight="1" spans="1:5">
      <c r="A717" s="7"/>
      <c r="B717" s="7"/>
      <c r="C717" s="29"/>
      <c r="D717" s="7"/>
      <c r="E717" s="7"/>
    </row>
    <row r="718" ht="22.5" customHeight="1" spans="1:5">
      <c r="A718" s="7"/>
      <c r="B718" s="7"/>
      <c r="C718" s="29"/>
      <c r="D718" s="7"/>
      <c r="E718" s="7"/>
    </row>
    <row r="719" ht="22.5" customHeight="1" spans="1:5">
      <c r="A719" s="7"/>
      <c r="B719" s="7"/>
      <c r="C719" s="29"/>
      <c r="D719" s="7"/>
      <c r="E719" s="7"/>
    </row>
    <row r="720" ht="22.5" customHeight="1" spans="1:5">
      <c r="A720" s="7"/>
      <c r="B720" s="7"/>
      <c r="C720" s="29"/>
      <c r="D720" s="7"/>
      <c r="E720" s="7"/>
    </row>
    <row r="721" ht="22.5" customHeight="1" spans="1:5">
      <c r="A721" s="7"/>
      <c r="B721" s="7"/>
      <c r="C721" s="29"/>
      <c r="D721" s="7"/>
      <c r="E721" s="7"/>
    </row>
    <row r="722" ht="22.5" customHeight="1" spans="1:5">
      <c r="A722" s="7"/>
      <c r="B722" s="7"/>
      <c r="C722" s="29"/>
      <c r="D722" s="7"/>
      <c r="E722" s="7"/>
    </row>
    <row r="723" ht="22.5" customHeight="1" spans="1:5">
      <c r="A723" s="7"/>
      <c r="B723" s="7"/>
      <c r="C723" s="29"/>
      <c r="D723" s="7"/>
      <c r="E723" s="7"/>
    </row>
    <row r="724" ht="22.5" customHeight="1" spans="1:5">
      <c r="A724" s="7"/>
      <c r="B724" s="7"/>
      <c r="C724" s="29"/>
      <c r="D724" s="7"/>
      <c r="E724" s="7"/>
    </row>
    <row r="725" ht="22.5" customHeight="1" spans="1:5">
      <c r="A725" s="7"/>
      <c r="B725" s="7"/>
      <c r="C725" s="29"/>
      <c r="D725" s="7"/>
      <c r="E725" s="7"/>
    </row>
    <row r="726" ht="22.5" customHeight="1" spans="1:5">
      <c r="A726" s="7"/>
      <c r="B726" s="7"/>
      <c r="C726" s="29"/>
      <c r="D726" s="7"/>
      <c r="E726" s="7"/>
    </row>
    <row r="727" ht="22.5" customHeight="1" spans="1:5">
      <c r="A727" s="7"/>
      <c r="B727" s="7"/>
      <c r="C727" s="29"/>
      <c r="D727" s="7"/>
      <c r="E727" s="7"/>
    </row>
    <row r="728" ht="22.5" customHeight="1" spans="1:5">
      <c r="A728" s="7"/>
      <c r="B728" s="7"/>
      <c r="C728" s="29"/>
      <c r="D728" s="7"/>
      <c r="E728" s="7"/>
    </row>
    <row r="729" ht="22.5" customHeight="1" spans="1:5">
      <c r="A729" s="7"/>
      <c r="B729" s="7"/>
      <c r="C729" s="29"/>
      <c r="D729" s="7"/>
      <c r="E729" s="7"/>
    </row>
    <row r="730" ht="22.5" customHeight="1" spans="1:5">
      <c r="A730" s="7"/>
      <c r="B730" s="7"/>
      <c r="C730" s="29"/>
      <c r="D730" s="7"/>
      <c r="E730" s="7"/>
    </row>
    <row r="731" ht="22.5" customHeight="1" spans="1:5">
      <c r="A731" s="7"/>
      <c r="B731" s="7"/>
      <c r="C731" s="29"/>
      <c r="D731" s="7"/>
      <c r="E731" s="7"/>
    </row>
    <row r="732" ht="22.5" customHeight="1" spans="1:5">
      <c r="A732" s="7"/>
      <c r="B732" s="7"/>
      <c r="C732" s="29"/>
      <c r="D732" s="7"/>
      <c r="E732" s="7"/>
    </row>
    <row r="733" ht="22.5" customHeight="1" spans="1:5">
      <c r="A733" s="7"/>
      <c r="B733" s="7"/>
      <c r="C733" s="29"/>
      <c r="D733" s="7"/>
      <c r="E733" s="7"/>
    </row>
    <row r="734" ht="22.5" customHeight="1" spans="1:5">
      <c r="A734" s="7"/>
      <c r="B734" s="7"/>
      <c r="C734" s="29"/>
      <c r="D734" s="7"/>
      <c r="E734" s="7"/>
    </row>
    <row r="735" ht="22.5" customHeight="1" spans="1:5">
      <c r="A735" s="7"/>
      <c r="B735" s="7"/>
      <c r="C735" s="29"/>
      <c r="D735" s="7"/>
      <c r="E735" s="7"/>
    </row>
    <row r="736" ht="22.5" customHeight="1" spans="1:5">
      <c r="A736" s="7"/>
      <c r="B736" s="7"/>
      <c r="C736" s="29"/>
      <c r="D736" s="7"/>
      <c r="E736" s="7"/>
    </row>
    <row r="737" ht="22.5" customHeight="1" spans="1:5">
      <c r="A737" s="7"/>
      <c r="B737" s="7"/>
      <c r="C737" s="29"/>
      <c r="D737" s="7"/>
      <c r="E737" s="7"/>
    </row>
    <row r="738" ht="22.5" customHeight="1" spans="1:5">
      <c r="A738" s="7"/>
      <c r="B738" s="7"/>
      <c r="C738" s="29"/>
      <c r="D738" s="7"/>
      <c r="E738" s="7"/>
    </row>
    <row r="739" ht="22.5" customHeight="1" spans="1:5">
      <c r="A739" s="7"/>
      <c r="B739" s="7"/>
      <c r="C739" s="29"/>
      <c r="D739" s="7"/>
      <c r="E739" s="7"/>
    </row>
    <row r="740" ht="22.5" customHeight="1" spans="1:5">
      <c r="A740" s="7"/>
      <c r="B740" s="7"/>
      <c r="C740" s="29"/>
      <c r="D740" s="7"/>
      <c r="E740" s="7"/>
    </row>
    <row r="741" ht="22.5" customHeight="1" spans="1:5">
      <c r="A741" s="7"/>
      <c r="B741" s="7"/>
      <c r="C741" s="29"/>
      <c r="D741" s="7"/>
      <c r="E741" s="7"/>
    </row>
    <row r="742" ht="22.5" customHeight="1" spans="1:5">
      <c r="A742" s="7"/>
      <c r="B742" s="7"/>
      <c r="C742" s="29"/>
      <c r="D742" s="7"/>
      <c r="E742" s="7"/>
    </row>
    <row r="743" ht="22.5" customHeight="1" spans="1:5">
      <c r="A743" s="7"/>
      <c r="B743" s="7"/>
      <c r="C743" s="29"/>
      <c r="D743" s="7"/>
      <c r="E743" s="7"/>
    </row>
    <row r="744" ht="22.5" customHeight="1" spans="1:5">
      <c r="A744" s="7"/>
      <c r="B744" s="7"/>
      <c r="C744" s="29"/>
      <c r="D744" s="7"/>
      <c r="E744" s="7"/>
    </row>
    <row r="745" ht="22.5" customHeight="1" spans="1:5">
      <c r="A745" s="7"/>
      <c r="B745" s="7"/>
      <c r="C745" s="29"/>
      <c r="D745" s="7"/>
      <c r="E745" s="7"/>
    </row>
    <row r="746" ht="22.5" customHeight="1" spans="1:5">
      <c r="A746" s="7"/>
      <c r="B746" s="7"/>
      <c r="C746" s="29"/>
      <c r="D746" s="7"/>
      <c r="E746" s="7"/>
    </row>
    <row r="747" ht="22.5" customHeight="1" spans="1:5">
      <c r="A747" s="7"/>
      <c r="B747" s="7"/>
      <c r="C747" s="29"/>
      <c r="D747" s="7"/>
      <c r="E747" s="7"/>
    </row>
    <row r="748" ht="22.5" customHeight="1" spans="1:5">
      <c r="A748" s="7"/>
      <c r="B748" s="7"/>
      <c r="C748" s="29"/>
      <c r="D748" s="7"/>
      <c r="E748" s="7"/>
    </row>
    <row r="749" ht="22.5" customHeight="1" spans="1:5">
      <c r="A749" s="7"/>
      <c r="B749" s="7"/>
      <c r="C749" s="29"/>
      <c r="D749" s="7"/>
      <c r="E749" s="7"/>
    </row>
    <row r="750" ht="22.5" customHeight="1" spans="1:5">
      <c r="A750" s="7"/>
      <c r="B750" s="7"/>
      <c r="C750" s="29"/>
      <c r="D750" s="7"/>
      <c r="E750" s="7"/>
    </row>
    <row r="751" ht="22.5" customHeight="1" spans="1:5">
      <c r="A751" s="7"/>
      <c r="B751" s="7"/>
      <c r="C751" s="29"/>
      <c r="D751" s="7"/>
      <c r="E751" s="7"/>
    </row>
    <row r="752" ht="22.5" customHeight="1" spans="1:5">
      <c r="A752" s="7"/>
      <c r="B752" s="7"/>
      <c r="C752" s="29"/>
      <c r="D752" s="7"/>
      <c r="E752" s="7"/>
    </row>
    <row r="753" ht="22.5" customHeight="1" spans="1:5">
      <c r="A753" s="7"/>
      <c r="B753" s="7"/>
      <c r="C753" s="29"/>
      <c r="D753" s="7"/>
      <c r="E753" s="7"/>
    </row>
    <row r="754" ht="22.5" customHeight="1" spans="1:5">
      <c r="A754" s="7"/>
      <c r="B754" s="7"/>
      <c r="C754" s="29"/>
      <c r="D754" s="7"/>
      <c r="E754" s="7"/>
    </row>
    <row r="755" ht="22.5" customHeight="1" spans="1:5">
      <c r="A755" s="7"/>
      <c r="B755" s="7"/>
      <c r="C755" s="29"/>
      <c r="D755" s="7"/>
      <c r="E755" s="7"/>
    </row>
    <row r="756" ht="22.5" customHeight="1" spans="1:5">
      <c r="A756" s="7"/>
      <c r="B756" s="7"/>
      <c r="C756" s="29"/>
      <c r="D756" s="7"/>
      <c r="E756" s="7"/>
    </row>
    <row r="757" ht="22.5" customHeight="1" spans="1:5">
      <c r="A757" s="7"/>
      <c r="B757" s="7"/>
      <c r="C757" s="29"/>
      <c r="D757" s="7"/>
      <c r="E757" s="7"/>
    </row>
    <row r="758" ht="22.5" customHeight="1" spans="1:5">
      <c r="A758" s="7"/>
      <c r="B758" s="7"/>
      <c r="C758" s="29"/>
      <c r="D758" s="7"/>
      <c r="E758" s="7"/>
    </row>
    <row r="759" ht="22.5" customHeight="1" spans="1:5">
      <c r="A759" s="7"/>
      <c r="B759" s="7"/>
      <c r="C759" s="29"/>
      <c r="D759" s="7"/>
      <c r="E759" s="7"/>
    </row>
    <row r="760" ht="22.5" customHeight="1" spans="1:5">
      <c r="A760" s="7"/>
      <c r="B760" s="7"/>
      <c r="C760" s="29"/>
      <c r="D760" s="7"/>
      <c r="E760" s="7"/>
    </row>
    <row r="761" ht="22.5" customHeight="1" spans="1:5">
      <c r="A761" s="7"/>
      <c r="B761" s="7"/>
      <c r="C761" s="29"/>
      <c r="D761" s="7"/>
      <c r="E761" s="7"/>
    </row>
    <row r="762" ht="22.5" customHeight="1" spans="1:5">
      <c r="A762" s="7"/>
      <c r="B762" s="7"/>
      <c r="C762" s="29"/>
      <c r="D762" s="7"/>
      <c r="E762" s="7"/>
    </row>
    <row r="763" ht="22.5" customHeight="1" spans="1:5">
      <c r="A763" s="7"/>
      <c r="B763" s="7"/>
      <c r="C763" s="29"/>
      <c r="D763" s="7"/>
      <c r="E763" s="7"/>
    </row>
    <row r="764" ht="22.5" customHeight="1" spans="1:5">
      <c r="A764" s="7"/>
      <c r="B764" s="7"/>
      <c r="C764" s="29"/>
      <c r="D764" s="7"/>
      <c r="E764" s="7"/>
    </row>
    <row r="765" ht="22.5" customHeight="1" spans="1:5">
      <c r="A765" s="7"/>
      <c r="B765" s="7"/>
      <c r="C765" s="29"/>
      <c r="D765" s="7"/>
      <c r="E765" s="7"/>
    </row>
    <row r="766" ht="22.5" customHeight="1" spans="1:5">
      <c r="A766" s="7"/>
      <c r="B766" s="7"/>
      <c r="C766" s="29"/>
      <c r="D766" s="7"/>
      <c r="E766" s="7"/>
    </row>
    <row r="767" ht="22.5" customHeight="1" spans="1:5">
      <c r="A767" s="7"/>
      <c r="B767" s="7"/>
      <c r="C767" s="29"/>
      <c r="D767" s="7"/>
      <c r="E767" s="7"/>
    </row>
    <row r="768" ht="22.5" customHeight="1" spans="1:5">
      <c r="A768" s="7"/>
      <c r="B768" s="7"/>
      <c r="C768" s="29"/>
      <c r="D768" s="7"/>
      <c r="E768" s="7"/>
    </row>
    <row r="769" ht="22.5" customHeight="1" spans="1:5">
      <c r="A769" s="7"/>
      <c r="B769" s="7"/>
      <c r="C769" s="29"/>
      <c r="D769" s="7"/>
      <c r="E769" s="7"/>
    </row>
    <row r="770" ht="22.5" customHeight="1" spans="1:5">
      <c r="A770" s="7"/>
      <c r="B770" s="7"/>
      <c r="C770" s="29"/>
      <c r="D770" s="7"/>
      <c r="E770" s="7"/>
    </row>
    <row r="771" ht="22.5" customHeight="1" spans="1:5">
      <c r="A771" s="7"/>
      <c r="B771" s="7"/>
      <c r="C771" s="29"/>
      <c r="D771" s="7"/>
      <c r="E771" s="7"/>
    </row>
    <row r="772" ht="22.5" customHeight="1" spans="1:5">
      <c r="A772" s="7"/>
      <c r="B772" s="7"/>
      <c r="C772" s="29"/>
      <c r="D772" s="7"/>
      <c r="E772" s="7"/>
    </row>
    <row r="773" ht="22.5" customHeight="1" spans="1:5">
      <c r="A773" s="7"/>
      <c r="B773" s="7"/>
      <c r="C773" s="29"/>
      <c r="D773" s="7"/>
      <c r="E773" s="7"/>
    </row>
    <row r="774" ht="22.5" customHeight="1" spans="1:5">
      <c r="A774" s="7"/>
      <c r="B774" s="7"/>
      <c r="C774" s="29"/>
      <c r="D774" s="7"/>
      <c r="E774" s="7"/>
    </row>
    <row r="775" ht="22.5" customHeight="1" spans="1:5">
      <c r="A775" s="7"/>
      <c r="B775" s="7"/>
      <c r="C775" s="29"/>
      <c r="D775" s="7"/>
      <c r="E775" s="7"/>
    </row>
    <row r="776" ht="22.5" customHeight="1" spans="1:5">
      <c r="A776" s="7"/>
      <c r="B776" s="7"/>
      <c r="C776" s="29"/>
      <c r="D776" s="7"/>
      <c r="E776" s="7"/>
    </row>
    <row r="777" ht="22.5" customHeight="1" spans="1:5">
      <c r="A777" s="7"/>
      <c r="B777" s="7"/>
      <c r="C777" s="29"/>
      <c r="D777" s="7"/>
      <c r="E777" s="7"/>
    </row>
    <row r="778" ht="22.5" customHeight="1" spans="1:5">
      <c r="A778" s="7"/>
      <c r="B778" s="7"/>
      <c r="C778" s="29"/>
      <c r="D778" s="7"/>
      <c r="E778" s="7"/>
    </row>
    <row r="779" ht="22.5" customHeight="1" spans="1:5">
      <c r="A779" s="7"/>
      <c r="B779" s="7"/>
      <c r="C779" s="29"/>
      <c r="D779" s="7"/>
      <c r="E779" s="7"/>
    </row>
    <row r="780" ht="22.5" customHeight="1" spans="1:5">
      <c r="A780" s="7"/>
      <c r="B780" s="7"/>
      <c r="C780" s="29"/>
      <c r="D780" s="7"/>
      <c r="E780" s="7"/>
    </row>
    <row r="781" ht="22.5" customHeight="1" spans="1:5">
      <c r="A781" s="7"/>
      <c r="B781" s="7"/>
      <c r="C781" s="29"/>
      <c r="D781" s="7"/>
      <c r="E781" s="7"/>
    </row>
    <row r="782" ht="22.5" customHeight="1" spans="1:5">
      <c r="A782" s="7"/>
      <c r="B782" s="7"/>
      <c r="C782" s="29"/>
      <c r="D782" s="7"/>
      <c r="E782" s="7"/>
    </row>
    <row r="783" ht="22.5" customHeight="1" spans="1:5">
      <c r="A783" s="7"/>
      <c r="B783" s="7"/>
      <c r="C783" s="29"/>
      <c r="D783" s="7"/>
      <c r="E783" s="7"/>
    </row>
    <row r="784" ht="22.5" customHeight="1" spans="1:5">
      <c r="A784" s="7"/>
      <c r="B784" s="7"/>
      <c r="C784" s="29"/>
      <c r="D784" s="7"/>
      <c r="E784" s="7"/>
    </row>
    <row r="785" ht="22.5" customHeight="1" spans="1:5">
      <c r="A785" s="7"/>
      <c r="B785" s="7"/>
      <c r="C785" s="29"/>
      <c r="D785" s="7"/>
      <c r="E785" s="7"/>
    </row>
    <row r="786" ht="22.5" customHeight="1" spans="1:5">
      <c r="A786" s="7"/>
      <c r="B786" s="7"/>
      <c r="C786" s="29"/>
      <c r="D786" s="7"/>
      <c r="E786" s="7"/>
    </row>
    <row r="787" ht="22.5" customHeight="1" spans="1:5">
      <c r="A787" s="7"/>
      <c r="B787" s="7"/>
      <c r="C787" s="29"/>
      <c r="D787" s="7"/>
      <c r="E787" s="7"/>
    </row>
    <row r="788" ht="22.5" customHeight="1" spans="1:5">
      <c r="A788" s="7"/>
      <c r="B788" s="7"/>
      <c r="C788" s="29"/>
      <c r="D788" s="7"/>
      <c r="E788" s="7"/>
    </row>
    <row r="789" ht="22.5" customHeight="1" spans="1:5">
      <c r="A789" s="7"/>
      <c r="B789" s="7"/>
      <c r="C789" s="29"/>
      <c r="D789" s="7"/>
      <c r="E789" s="7"/>
    </row>
    <row r="790" ht="22.5" customHeight="1" spans="1:5">
      <c r="A790" s="7"/>
      <c r="B790" s="7"/>
      <c r="C790" s="29"/>
      <c r="D790" s="7"/>
      <c r="E790" s="7"/>
    </row>
    <row r="791" ht="22.5" customHeight="1" spans="1:5">
      <c r="A791" s="7"/>
      <c r="B791" s="7"/>
      <c r="C791" s="29"/>
      <c r="D791" s="7"/>
      <c r="E791" s="7"/>
    </row>
    <row r="792" ht="22.5" customHeight="1" spans="1:5">
      <c r="A792" s="7"/>
      <c r="B792" s="7"/>
      <c r="C792" s="29"/>
      <c r="D792" s="7"/>
      <c r="E792" s="7"/>
    </row>
    <row r="793" ht="22.5" customHeight="1" spans="1:5">
      <c r="A793" s="7"/>
      <c r="B793" s="7"/>
      <c r="C793" s="29"/>
      <c r="D793" s="7"/>
      <c r="E793" s="7"/>
    </row>
    <row r="794" ht="22.5" customHeight="1" spans="1:5">
      <c r="A794" s="7"/>
      <c r="B794" s="7"/>
      <c r="C794" s="29"/>
      <c r="D794" s="7"/>
      <c r="E794" s="7"/>
    </row>
    <row r="795" ht="22.5" customHeight="1" spans="1:5">
      <c r="A795" s="7"/>
      <c r="B795" s="7"/>
      <c r="C795" s="29"/>
      <c r="D795" s="7"/>
      <c r="E795" s="7"/>
    </row>
    <row r="796" ht="22.5" customHeight="1" spans="1:5">
      <c r="A796" s="7"/>
      <c r="B796" s="7"/>
      <c r="C796" s="29"/>
      <c r="D796" s="7"/>
      <c r="E796" s="7"/>
    </row>
    <row r="797" ht="22.5" customHeight="1" spans="1:5">
      <c r="A797" s="7"/>
      <c r="B797" s="7"/>
      <c r="C797" s="29"/>
      <c r="D797" s="7"/>
      <c r="E797" s="7"/>
    </row>
    <row r="798" ht="22.5" customHeight="1" spans="1:5">
      <c r="A798" s="7"/>
      <c r="B798" s="7"/>
      <c r="C798" s="29"/>
      <c r="D798" s="7"/>
      <c r="E798" s="7"/>
    </row>
    <row r="799" ht="22.5" customHeight="1" spans="1:5">
      <c r="A799" s="7"/>
      <c r="B799" s="7"/>
      <c r="C799" s="29"/>
      <c r="D799" s="7"/>
      <c r="E799" s="7"/>
    </row>
    <row r="800" ht="22.5" customHeight="1" spans="1:5">
      <c r="A800" s="7"/>
      <c r="B800" s="7"/>
      <c r="C800" s="29"/>
      <c r="D800" s="7"/>
      <c r="E800" s="7"/>
    </row>
    <row r="801" ht="22.5" customHeight="1" spans="1:5">
      <c r="A801" s="7"/>
      <c r="B801" s="7"/>
      <c r="C801" s="29"/>
      <c r="D801" s="7"/>
      <c r="E801" s="7"/>
    </row>
    <row r="802" ht="22.5" customHeight="1" spans="1:5">
      <c r="A802" s="7"/>
      <c r="B802" s="7"/>
      <c r="C802" s="29"/>
      <c r="D802" s="7"/>
      <c r="E802" s="7"/>
    </row>
    <row r="803" ht="22.5" customHeight="1" spans="1:5">
      <c r="A803" s="7"/>
      <c r="B803" s="7"/>
      <c r="C803" s="29"/>
      <c r="D803" s="7"/>
      <c r="E803" s="7"/>
    </row>
    <row r="804" ht="22.5" customHeight="1" spans="1:5">
      <c r="A804" s="7"/>
      <c r="B804" s="7"/>
      <c r="C804" s="29"/>
      <c r="D804" s="7"/>
      <c r="E804" s="7"/>
    </row>
    <row r="805" ht="22.5" customHeight="1" spans="1:5">
      <c r="A805" s="7"/>
      <c r="B805" s="7"/>
      <c r="C805" s="29"/>
      <c r="D805" s="7"/>
      <c r="E805" s="7"/>
    </row>
    <row r="806" ht="22.5" customHeight="1" spans="1:5">
      <c r="A806" s="7"/>
      <c r="B806" s="7"/>
      <c r="C806" s="29"/>
      <c r="D806" s="7"/>
      <c r="E806" s="7"/>
    </row>
    <row r="807" ht="22.5" customHeight="1" spans="1:5">
      <c r="A807" s="7"/>
      <c r="B807" s="7"/>
      <c r="C807" s="29"/>
      <c r="D807" s="7"/>
      <c r="E807" s="7"/>
    </row>
    <row r="808" ht="22.5" customHeight="1" spans="1:5">
      <c r="A808" s="7"/>
      <c r="B808" s="7"/>
      <c r="C808" s="29"/>
      <c r="D808" s="7"/>
      <c r="E808" s="7"/>
    </row>
    <row r="809" ht="22.5" customHeight="1" spans="1:5">
      <c r="A809" s="7"/>
      <c r="B809" s="7"/>
      <c r="C809" s="29"/>
      <c r="D809" s="7"/>
      <c r="E809" s="7"/>
    </row>
    <row r="810" ht="22.5" customHeight="1" spans="1:5">
      <c r="A810" s="7"/>
      <c r="B810" s="7"/>
      <c r="C810" s="29"/>
      <c r="D810" s="7"/>
      <c r="E810" s="7"/>
    </row>
    <row r="811" ht="22.5" customHeight="1" spans="1:5">
      <c r="A811" s="7"/>
      <c r="B811" s="7"/>
      <c r="C811" s="29"/>
      <c r="D811" s="7"/>
      <c r="E811" s="7"/>
    </row>
    <row r="812" ht="22.5" customHeight="1" spans="1:5">
      <c r="A812" s="7"/>
      <c r="B812" s="7"/>
      <c r="C812" s="29"/>
      <c r="D812" s="7"/>
      <c r="E812" s="7"/>
    </row>
    <row r="813" ht="22.5" customHeight="1" spans="1:5">
      <c r="A813" s="7"/>
      <c r="B813" s="7"/>
      <c r="C813" s="29"/>
      <c r="D813" s="7"/>
      <c r="E813" s="7"/>
    </row>
    <row r="814" ht="22.5" customHeight="1" spans="1:5">
      <c r="A814" s="7"/>
      <c r="B814" s="7"/>
      <c r="C814" s="29"/>
      <c r="D814" s="7"/>
      <c r="E814" s="7"/>
    </row>
    <row r="815" ht="22.5" customHeight="1" spans="1:5">
      <c r="A815" s="7"/>
      <c r="B815" s="7"/>
      <c r="C815" s="29"/>
      <c r="D815" s="7"/>
      <c r="E815" s="7"/>
    </row>
    <row r="816" ht="22.5" customHeight="1" spans="1:5">
      <c r="A816" s="7"/>
      <c r="B816" s="7"/>
      <c r="C816" s="29"/>
      <c r="D816" s="7"/>
      <c r="E816" s="7"/>
    </row>
    <row r="817" ht="22.5" customHeight="1" spans="1:5">
      <c r="A817" s="7"/>
      <c r="B817" s="7"/>
      <c r="C817" s="29"/>
      <c r="D817" s="7"/>
      <c r="E817" s="7"/>
    </row>
    <row r="818" ht="22.5" customHeight="1" spans="1:5">
      <c r="A818" s="7"/>
      <c r="B818" s="7"/>
      <c r="C818" s="29"/>
      <c r="D818" s="7"/>
      <c r="E818" s="7"/>
    </row>
    <row r="819" ht="22.5" customHeight="1" spans="1:5">
      <c r="A819" s="7"/>
      <c r="B819" s="7"/>
      <c r="C819" s="29"/>
      <c r="D819" s="7"/>
      <c r="E819" s="7"/>
    </row>
    <row r="820" ht="22.5" customHeight="1" spans="1:5">
      <c r="A820" s="7"/>
      <c r="B820" s="7"/>
      <c r="C820" s="29"/>
      <c r="D820" s="7"/>
      <c r="E820" s="7"/>
    </row>
    <row r="821" ht="22.5" customHeight="1" spans="1:5">
      <c r="A821" s="7"/>
      <c r="B821" s="7"/>
      <c r="C821" s="29"/>
      <c r="D821" s="7"/>
      <c r="E821" s="7"/>
    </row>
    <row r="822" ht="22.5" customHeight="1" spans="1:5">
      <c r="A822" s="7"/>
      <c r="B822" s="7"/>
      <c r="C822" s="29"/>
      <c r="D822" s="7"/>
      <c r="E822" s="7"/>
    </row>
    <row r="823" ht="22.5" customHeight="1" spans="1:5">
      <c r="A823" s="7"/>
      <c r="B823" s="7"/>
      <c r="C823" s="29"/>
      <c r="D823" s="7"/>
      <c r="E823" s="7"/>
    </row>
    <row r="824" ht="22.5" customHeight="1" spans="1:5">
      <c r="A824" s="7"/>
      <c r="B824" s="7"/>
      <c r="C824" s="29"/>
      <c r="D824" s="7"/>
      <c r="E824" s="7"/>
    </row>
    <row r="825" ht="22.5" customHeight="1" spans="1:5">
      <c r="A825" s="7"/>
      <c r="B825" s="7"/>
      <c r="C825" s="29"/>
      <c r="D825" s="7"/>
      <c r="E825" s="7"/>
    </row>
    <row r="826" ht="22.5" customHeight="1" spans="1:5">
      <c r="A826" s="7"/>
      <c r="B826" s="7"/>
      <c r="C826" s="29"/>
      <c r="D826" s="7"/>
      <c r="E826" s="7"/>
    </row>
    <row r="827" ht="22.5" customHeight="1" spans="1:5">
      <c r="A827" s="7"/>
      <c r="B827" s="7"/>
      <c r="C827" s="29"/>
      <c r="D827" s="7"/>
      <c r="E827" s="7"/>
    </row>
    <row r="828" ht="22.5" customHeight="1" spans="1:5">
      <c r="A828" s="7"/>
      <c r="B828" s="7"/>
      <c r="C828" s="29"/>
      <c r="D828" s="7"/>
      <c r="E828" s="7"/>
    </row>
    <row r="829" ht="22.5" customHeight="1" spans="1:5">
      <c r="A829" s="7"/>
      <c r="B829" s="7"/>
      <c r="C829" s="29"/>
      <c r="D829" s="7"/>
      <c r="E829" s="7"/>
    </row>
    <row r="830" ht="22.5" customHeight="1" spans="1:5">
      <c r="A830" s="7"/>
      <c r="B830" s="7"/>
      <c r="C830" s="29"/>
      <c r="D830" s="7"/>
      <c r="E830" s="7"/>
    </row>
    <row r="831" ht="22.5" customHeight="1" spans="1:5">
      <c r="A831" s="7"/>
      <c r="B831" s="7"/>
      <c r="C831" s="29"/>
      <c r="D831" s="7"/>
      <c r="E831" s="7"/>
    </row>
    <row r="832" ht="22.5" customHeight="1" spans="1:5">
      <c r="A832" s="7"/>
      <c r="B832" s="7"/>
      <c r="C832" s="29"/>
      <c r="D832" s="7"/>
      <c r="E832" s="7"/>
    </row>
    <row r="833" ht="22.5" customHeight="1" spans="1:5">
      <c r="A833" s="7"/>
      <c r="B833" s="7"/>
      <c r="C833" s="29"/>
      <c r="D833" s="7"/>
      <c r="E833" s="7"/>
    </row>
    <row r="834" ht="22.5" customHeight="1" spans="1:5">
      <c r="A834" s="7"/>
      <c r="B834" s="7"/>
      <c r="C834" s="29"/>
      <c r="D834" s="7"/>
      <c r="E834" s="7"/>
    </row>
    <row r="835" ht="22.5" customHeight="1" spans="1:5">
      <c r="A835" s="7"/>
      <c r="B835" s="7"/>
      <c r="C835" s="29"/>
      <c r="D835" s="7"/>
      <c r="E835" s="7"/>
    </row>
    <row r="836" ht="22.5" customHeight="1" spans="1:5">
      <c r="A836" s="7"/>
      <c r="B836" s="7"/>
      <c r="C836" s="29"/>
      <c r="D836" s="7"/>
      <c r="E836" s="7"/>
    </row>
    <row r="837" ht="22.5" customHeight="1" spans="1:5">
      <c r="A837" s="7"/>
      <c r="B837" s="7"/>
      <c r="C837" s="29"/>
      <c r="D837" s="7"/>
      <c r="E837" s="7"/>
    </row>
    <row r="838" ht="22.5" customHeight="1" spans="1:5">
      <c r="A838" s="7"/>
      <c r="B838" s="7"/>
      <c r="C838" s="29"/>
      <c r="D838" s="7"/>
      <c r="E838" s="7"/>
    </row>
    <row r="839" ht="22.5" customHeight="1" spans="1:5">
      <c r="A839" s="7"/>
      <c r="B839" s="7"/>
      <c r="C839" s="29"/>
      <c r="D839" s="7"/>
      <c r="E839" s="7"/>
    </row>
    <row r="840" ht="22.5" customHeight="1" spans="1:5">
      <c r="A840" s="7"/>
      <c r="B840" s="7"/>
      <c r="C840" s="29"/>
      <c r="D840" s="7"/>
      <c r="E840" s="7"/>
    </row>
    <row r="841" ht="22.5" customHeight="1" spans="1:5">
      <c r="A841" s="7"/>
      <c r="B841" s="7"/>
      <c r="C841" s="29"/>
      <c r="D841" s="7"/>
      <c r="E841" s="7"/>
    </row>
    <row r="842" ht="22.5" customHeight="1" spans="1:5">
      <c r="A842" s="7"/>
      <c r="B842" s="7"/>
      <c r="C842" s="29"/>
      <c r="D842" s="7"/>
      <c r="E842" s="7"/>
    </row>
    <row r="843" ht="22.5" customHeight="1" spans="1:5">
      <c r="A843" s="7"/>
      <c r="B843" s="7"/>
      <c r="C843" s="29"/>
      <c r="D843" s="7"/>
      <c r="E843" s="7"/>
    </row>
    <row r="844" ht="22.5" customHeight="1" spans="1:5">
      <c r="A844" s="7"/>
      <c r="B844" s="7"/>
      <c r="C844" s="29"/>
      <c r="D844" s="7"/>
      <c r="E844" s="7"/>
    </row>
    <row r="845" ht="22.5" customHeight="1" spans="1:5">
      <c r="A845" s="7"/>
      <c r="B845" s="7"/>
      <c r="C845" s="29"/>
      <c r="D845" s="7"/>
      <c r="E845" s="7"/>
    </row>
    <row r="846" ht="22.5" customHeight="1" spans="1:5">
      <c r="A846" s="7"/>
      <c r="B846" s="7"/>
      <c r="C846" s="29"/>
      <c r="D846" s="7"/>
      <c r="E846" s="7"/>
    </row>
    <row r="847" ht="22.5" customHeight="1" spans="1:5">
      <c r="A847" s="7"/>
      <c r="B847" s="7"/>
      <c r="C847" s="29"/>
      <c r="D847" s="7"/>
      <c r="E847" s="7"/>
    </row>
    <row r="848" ht="22.5" customHeight="1" spans="1:5">
      <c r="A848" s="7"/>
      <c r="B848" s="7"/>
      <c r="C848" s="29"/>
      <c r="D848" s="7"/>
      <c r="E848" s="7"/>
    </row>
    <row r="849" ht="22.5" customHeight="1" spans="1:5">
      <c r="A849" s="7"/>
      <c r="B849" s="7"/>
      <c r="C849" s="29"/>
      <c r="D849" s="7"/>
      <c r="E849" s="7"/>
    </row>
    <row r="850" ht="22.5" customHeight="1" spans="1:5">
      <c r="A850" s="7"/>
      <c r="B850" s="7"/>
      <c r="C850" s="29"/>
      <c r="D850" s="7"/>
      <c r="E850" s="7"/>
    </row>
    <row r="851" ht="22.5" customHeight="1" spans="1:5">
      <c r="A851" s="7"/>
      <c r="B851" s="7"/>
      <c r="C851" s="29"/>
      <c r="D851" s="7"/>
      <c r="E851" s="7"/>
    </row>
    <row r="852" ht="22.5" customHeight="1" spans="1:5">
      <c r="A852" s="7"/>
      <c r="B852" s="7"/>
      <c r="C852" s="29"/>
      <c r="D852" s="7"/>
      <c r="E852" s="7"/>
    </row>
    <row r="853" ht="22.5" customHeight="1" spans="1:5">
      <c r="A853" s="7"/>
      <c r="B853" s="7"/>
      <c r="C853" s="29"/>
      <c r="D853" s="7"/>
      <c r="E853" s="7"/>
    </row>
    <row r="854" ht="22.5" customHeight="1" spans="1:5">
      <c r="A854" s="7"/>
      <c r="B854" s="7"/>
      <c r="C854" s="29"/>
      <c r="D854" s="7"/>
      <c r="E854" s="7"/>
    </row>
    <row r="855" ht="22.5" customHeight="1" spans="1:5">
      <c r="A855" s="7"/>
      <c r="B855" s="7"/>
      <c r="C855" s="29"/>
      <c r="D855" s="7"/>
      <c r="E855" s="7"/>
    </row>
    <row r="856" ht="22.5" customHeight="1" spans="1:5">
      <c r="A856" s="7"/>
      <c r="B856" s="7"/>
      <c r="C856" s="29"/>
      <c r="D856" s="7"/>
      <c r="E856" s="7"/>
    </row>
    <row r="857" ht="22.5" customHeight="1" spans="1:5">
      <c r="A857" s="7"/>
      <c r="B857" s="7"/>
      <c r="C857" s="29"/>
      <c r="D857" s="7"/>
      <c r="E857" s="7"/>
    </row>
    <row r="858" ht="22.5" customHeight="1" spans="1:5">
      <c r="A858" s="7"/>
      <c r="B858" s="7"/>
      <c r="C858" s="29"/>
      <c r="D858" s="7"/>
      <c r="E858" s="7"/>
    </row>
    <row r="859" ht="22.5" customHeight="1" spans="1:5">
      <c r="A859" s="7"/>
      <c r="B859" s="7"/>
      <c r="C859" s="29"/>
      <c r="D859" s="7"/>
      <c r="E859" s="7"/>
    </row>
    <row r="860" ht="22.5" customHeight="1" spans="1:5">
      <c r="A860" s="7"/>
      <c r="B860" s="7"/>
      <c r="C860" s="29"/>
      <c r="D860" s="7"/>
      <c r="E860" s="7"/>
    </row>
    <row r="861" ht="22.5" customHeight="1" spans="1:5">
      <c r="A861" s="7"/>
      <c r="B861" s="7"/>
      <c r="C861" s="29"/>
      <c r="D861" s="7"/>
      <c r="E861" s="7"/>
    </row>
    <row r="862" ht="22.5" customHeight="1" spans="1:5">
      <c r="A862" s="7"/>
      <c r="B862" s="7"/>
      <c r="C862" s="29"/>
      <c r="D862" s="7"/>
      <c r="E862" s="7"/>
    </row>
    <row r="863" ht="22.5" customHeight="1" spans="1:5">
      <c r="A863" s="7"/>
      <c r="B863" s="7"/>
      <c r="C863" s="29"/>
      <c r="D863" s="7"/>
      <c r="E863" s="7"/>
    </row>
    <row r="864" ht="22.5" customHeight="1" spans="1:5">
      <c r="A864" s="7"/>
      <c r="B864" s="7"/>
      <c r="C864" s="29"/>
      <c r="D864" s="7"/>
      <c r="E864" s="7"/>
    </row>
    <row r="865" ht="22.5" customHeight="1" spans="1:5">
      <c r="A865" s="7"/>
      <c r="B865" s="7"/>
      <c r="C865" s="29"/>
      <c r="D865" s="7"/>
      <c r="E865" s="7"/>
    </row>
    <row r="866" ht="22.5" customHeight="1" spans="1:5">
      <c r="A866" s="7"/>
      <c r="B866" s="7"/>
      <c r="C866" s="29"/>
      <c r="D866" s="7"/>
      <c r="E866" s="7"/>
    </row>
    <row r="867" ht="22.5" customHeight="1" spans="1:5">
      <c r="A867" s="7"/>
      <c r="B867" s="7"/>
      <c r="C867" s="29"/>
      <c r="D867" s="7"/>
      <c r="E867" s="7"/>
    </row>
    <row r="868" ht="22.5" customHeight="1" spans="1:5">
      <c r="A868" s="7"/>
      <c r="B868" s="7"/>
      <c r="C868" s="29"/>
      <c r="D868" s="7"/>
      <c r="E868" s="7"/>
    </row>
    <row r="869" ht="22.5" customHeight="1" spans="1:5">
      <c r="A869" s="7"/>
      <c r="B869" s="7"/>
      <c r="C869" s="29"/>
      <c r="D869" s="7"/>
      <c r="E869" s="7"/>
    </row>
    <row r="870" ht="22.5" customHeight="1" spans="1:5">
      <c r="A870" s="7"/>
      <c r="B870" s="7"/>
      <c r="C870" s="29"/>
      <c r="D870" s="7"/>
      <c r="E870" s="7"/>
    </row>
    <row r="871" ht="22.5" customHeight="1" spans="1:5">
      <c r="A871" s="7"/>
      <c r="B871" s="7"/>
      <c r="C871" s="29"/>
      <c r="D871" s="7"/>
      <c r="E871" s="7"/>
    </row>
    <row r="872" ht="22.5" customHeight="1" spans="1:5">
      <c r="A872" s="7"/>
      <c r="B872" s="7"/>
      <c r="C872" s="29"/>
      <c r="D872" s="7"/>
      <c r="E872" s="7"/>
    </row>
    <row r="873" ht="22.5" customHeight="1" spans="1:5">
      <c r="A873" s="7"/>
      <c r="B873" s="7"/>
      <c r="C873" s="29"/>
      <c r="D873" s="7"/>
      <c r="E873" s="7"/>
    </row>
    <row r="874" ht="22.5" customHeight="1" spans="1:5">
      <c r="A874" s="7"/>
      <c r="B874" s="7"/>
      <c r="C874" s="29"/>
      <c r="D874" s="7"/>
      <c r="E874" s="7"/>
    </row>
    <row r="875" ht="22.5" customHeight="1" spans="1:5">
      <c r="A875" s="7"/>
      <c r="B875" s="7"/>
      <c r="C875" s="29"/>
      <c r="D875" s="7"/>
      <c r="E875" s="7"/>
    </row>
    <row r="876" ht="22.5" customHeight="1" spans="1:5">
      <c r="A876" s="7"/>
      <c r="B876" s="7"/>
      <c r="C876" s="29"/>
      <c r="D876" s="7"/>
      <c r="E876" s="7"/>
    </row>
    <row r="877" ht="22.5" customHeight="1" spans="1:5">
      <c r="A877" s="7"/>
      <c r="B877" s="7"/>
      <c r="C877" s="29"/>
      <c r="D877" s="7"/>
      <c r="E877" s="7"/>
    </row>
    <row r="878" ht="22.5" customHeight="1" spans="1:5">
      <c r="A878" s="7"/>
      <c r="B878" s="7"/>
      <c r="C878" s="29"/>
      <c r="D878" s="7"/>
      <c r="E878" s="7"/>
    </row>
    <row r="879" ht="22.5" customHeight="1" spans="1:5">
      <c r="A879" s="7"/>
      <c r="B879" s="7"/>
      <c r="C879" s="29"/>
      <c r="D879" s="7"/>
      <c r="E879" s="7"/>
    </row>
    <row r="880" ht="22.5" customHeight="1" spans="1:5">
      <c r="A880" s="7"/>
      <c r="B880" s="7"/>
      <c r="C880" s="29"/>
      <c r="D880" s="7"/>
      <c r="E880" s="7"/>
    </row>
    <row r="881" ht="22.5" customHeight="1" spans="1:5">
      <c r="A881" s="7"/>
      <c r="B881" s="7"/>
      <c r="C881" s="29"/>
      <c r="D881" s="7"/>
      <c r="E881" s="7"/>
    </row>
    <row r="882" ht="22.5" customHeight="1" spans="1:5">
      <c r="A882" s="7"/>
      <c r="B882" s="7"/>
      <c r="C882" s="29"/>
      <c r="D882" s="7"/>
      <c r="E882" s="7"/>
    </row>
    <row r="883" ht="22.5" customHeight="1" spans="1:5">
      <c r="A883" s="7"/>
      <c r="B883" s="7"/>
      <c r="C883" s="29"/>
      <c r="D883" s="7"/>
      <c r="E883" s="7"/>
    </row>
    <row r="884" ht="22.5" customHeight="1" spans="1:5">
      <c r="A884" s="7"/>
      <c r="B884" s="7"/>
      <c r="C884" s="29"/>
      <c r="D884" s="7"/>
      <c r="E884" s="7"/>
    </row>
    <row r="885" ht="22.5" customHeight="1" spans="1:5">
      <c r="A885" s="7"/>
      <c r="B885" s="7"/>
      <c r="C885" s="29"/>
      <c r="D885" s="7"/>
      <c r="E885" s="7"/>
    </row>
    <row r="886" ht="22.5" customHeight="1" spans="1:5">
      <c r="A886" s="7"/>
      <c r="B886" s="7"/>
      <c r="C886" s="29"/>
      <c r="D886" s="7"/>
      <c r="E886" s="7"/>
    </row>
    <row r="887" ht="22.5" customHeight="1" spans="1:5">
      <c r="A887" s="7"/>
      <c r="B887" s="7"/>
      <c r="C887" s="29"/>
      <c r="D887" s="7"/>
      <c r="E887" s="7"/>
    </row>
    <row r="888" ht="22.5" customHeight="1" spans="1:5">
      <c r="A888" s="7"/>
      <c r="B888" s="7"/>
      <c r="C888" s="29"/>
      <c r="D888" s="7"/>
      <c r="E888" s="7"/>
    </row>
    <row r="889" ht="22.5" customHeight="1" spans="1:5">
      <c r="A889" s="7"/>
      <c r="B889" s="7"/>
      <c r="C889" s="29"/>
      <c r="D889" s="7"/>
      <c r="E889" s="7"/>
    </row>
    <row r="890" ht="22.5" customHeight="1" spans="1:5">
      <c r="A890" s="7"/>
      <c r="B890" s="7"/>
      <c r="C890" s="29"/>
      <c r="D890" s="7"/>
      <c r="E890" s="7"/>
    </row>
    <row r="891" ht="22.5" customHeight="1" spans="1:5">
      <c r="A891" s="7"/>
      <c r="B891" s="7"/>
      <c r="C891" s="29"/>
      <c r="D891" s="7"/>
      <c r="E891" s="7"/>
    </row>
    <row r="892" ht="22.5" customHeight="1" spans="1:5">
      <c r="A892" s="7"/>
      <c r="B892" s="7"/>
      <c r="C892" s="29"/>
      <c r="D892" s="7"/>
      <c r="E892" s="7"/>
    </row>
    <row r="893" ht="22.5" customHeight="1" spans="1:5">
      <c r="A893" s="7"/>
      <c r="B893" s="7"/>
      <c r="C893" s="29"/>
      <c r="D893" s="7"/>
      <c r="E893" s="7"/>
    </row>
    <row r="894" ht="22.5" customHeight="1" spans="1:5">
      <c r="A894" s="7"/>
      <c r="B894" s="7"/>
      <c r="C894" s="29"/>
      <c r="D894" s="7"/>
      <c r="E894" s="7"/>
    </row>
    <row r="895" ht="22.5" customHeight="1" spans="1:5">
      <c r="A895" s="7"/>
      <c r="B895" s="7"/>
      <c r="C895" s="29"/>
      <c r="D895" s="7"/>
      <c r="E895" s="7"/>
    </row>
    <row r="896" ht="22.5" customHeight="1" spans="1:5">
      <c r="A896" s="7"/>
      <c r="B896" s="7"/>
      <c r="C896" s="29"/>
      <c r="D896" s="7"/>
      <c r="E896" s="7"/>
    </row>
    <row r="897" ht="22.5" customHeight="1" spans="1:5">
      <c r="A897" s="7"/>
      <c r="B897" s="7"/>
      <c r="C897" s="29"/>
      <c r="D897" s="7"/>
      <c r="E897" s="7"/>
    </row>
    <row r="898" ht="22.5" customHeight="1" spans="1:5">
      <c r="A898" s="7"/>
      <c r="B898" s="7"/>
      <c r="C898" s="29"/>
      <c r="D898" s="7"/>
      <c r="E898" s="7"/>
    </row>
    <row r="899" ht="22.5" customHeight="1" spans="1:5">
      <c r="A899" s="7"/>
      <c r="B899" s="7"/>
      <c r="C899" s="29"/>
      <c r="D899" s="7"/>
      <c r="E899" s="7"/>
    </row>
    <row r="900" ht="22.5" customHeight="1" spans="1:5">
      <c r="A900" s="7"/>
      <c r="B900" s="7"/>
      <c r="C900" s="29"/>
      <c r="D900" s="7"/>
      <c r="E900" s="7"/>
    </row>
    <row r="901" ht="22.5" customHeight="1" spans="1:5">
      <c r="A901" s="7"/>
      <c r="B901" s="7"/>
      <c r="C901" s="29"/>
      <c r="D901" s="7"/>
      <c r="E901" s="7"/>
    </row>
    <row r="902" ht="22.5" customHeight="1" spans="1:5">
      <c r="A902" s="7"/>
      <c r="B902" s="7"/>
      <c r="C902" s="29"/>
      <c r="D902" s="7"/>
      <c r="E902" s="7"/>
    </row>
    <row r="903" ht="22.5" customHeight="1" spans="1:5">
      <c r="A903" s="7"/>
      <c r="B903" s="7"/>
      <c r="C903" s="29"/>
      <c r="D903" s="7"/>
      <c r="E903" s="7"/>
    </row>
    <row r="904" ht="22.5" customHeight="1" spans="1:5">
      <c r="A904" s="7"/>
      <c r="B904" s="7"/>
      <c r="C904" s="29"/>
      <c r="D904" s="7"/>
      <c r="E904" s="7"/>
    </row>
    <row r="905" ht="22.5" customHeight="1" spans="1:5">
      <c r="A905" s="7"/>
      <c r="B905" s="7"/>
      <c r="C905" s="29"/>
      <c r="D905" s="7"/>
      <c r="E905" s="7"/>
    </row>
    <row r="906" ht="22.5" customHeight="1" spans="1:5">
      <c r="A906" s="7"/>
      <c r="B906" s="7"/>
      <c r="C906" s="29"/>
      <c r="D906" s="7"/>
      <c r="E906" s="7"/>
    </row>
    <row r="907" ht="22.5" customHeight="1" spans="1:5">
      <c r="A907" s="7"/>
      <c r="B907" s="7"/>
      <c r="C907" s="29"/>
      <c r="D907" s="7"/>
      <c r="E907" s="7"/>
    </row>
    <row r="908" ht="22.5" customHeight="1" spans="1:5">
      <c r="A908" s="7"/>
      <c r="B908" s="7"/>
      <c r="C908" s="29"/>
      <c r="D908" s="7"/>
      <c r="E908" s="7"/>
    </row>
    <row r="909" ht="22.5" customHeight="1" spans="1:5">
      <c r="A909" s="7"/>
      <c r="B909" s="7"/>
      <c r="C909" s="29"/>
      <c r="D909" s="7"/>
      <c r="E909" s="7"/>
    </row>
    <row r="910" ht="22.5" customHeight="1" spans="1:5">
      <c r="A910" s="7"/>
      <c r="B910" s="7"/>
      <c r="C910" s="29"/>
      <c r="D910" s="7"/>
      <c r="E910" s="7"/>
    </row>
    <row r="911" ht="22.5" customHeight="1" spans="1:5">
      <c r="A911" s="7"/>
      <c r="B911" s="7"/>
      <c r="C911" s="29"/>
      <c r="D911" s="7"/>
      <c r="E911" s="7"/>
    </row>
    <row r="912" ht="22.5" customHeight="1" spans="1:5">
      <c r="A912" s="7"/>
      <c r="B912" s="7"/>
      <c r="C912" s="29"/>
      <c r="D912" s="7"/>
      <c r="E912" s="7"/>
    </row>
    <row r="913" ht="22.5" customHeight="1" spans="1:5">
      <c r="A913" s="7"/>
      <c r="B913" s="7"/>
      <c r="C913" s="29"/>
      <c r="D913" s="7"/>
      <c r="E913" s="7"/>
    </row>
    <row r="914" ht="22.5" customHeight="1" spans="1:5">
      <c r="A914" s="7"/>
      <c r="B914" s="7"/>
      <c r="C914" s="29"/>
      <c r="D914" s="7"/>
      <c r="E914" s="7"/>
    </row>
    <row r="915" ht="22.5" customHeight="1" spans="1:5">
      <c r="A915" s="7"/>
      <c r="B915" s="7"/>
      <c r="C915" s="29"/>
      <c r="D915" s="7"/>
      <c r="E915" s="7"/>
    </row>
    <row r="916" ht="22.5" customHeight="1" spans="1:5">
      <c r="A916" s="7"/>
      <c r="B916" s="7"/>
      <c r="C916" s="29"/>
      <c r="D916" s="7"/>
      <c r="E916" s="7"/>
    </row>
    <row r="917" ht="22.5" customHeight="1" spans="1:5">
      <c r="A917" s="7"/>
      <c r="B917" s="7"/>
      <c r="C917" s="29"/>
      <c r="D917" s="7"/>
      <c r="E917" s="7"/>
    </row>
    <row r="918" ht="22.5" customHeight="1" spans="1:5">
      <c r="A918" s="7"/>
      <c r="B918" s="7"/>
      <c r="C918" s="29"/>
      <c r="D918" s="7"/>
      <c r="E918" s="7"/>
    </row>
    <row r="919" ht="22.5" customHeight="1" spans="1:5">
      <c r="A919" s="7"/>
      <c r="B919" s="7"/>
      <c r="C919" s="29"/>
      <c r="D919" s="7"/>
      <c r="E919" s="7"/>
    </row>
    <row r="920" ht="22.5" customHeight="1" spans="1:5">
      <c r="A920" s="7"/>
      <c r="B920" s="7"/>
      <c r="C920" s="29"/>
      <c r="D920" s="7"/>
      <c r="E920" s="7"/>
    </row>
    <row r="921" ht="22.5" customHeight="1" spans="1:5">
      <c r="A921" s="7"/>
      <c r="B921" s="7"/>
      <c r="C921" s="29"/>
      <c r="D921" s="7"/>
      <c r="E921" s="7"/>
    </row>
    <row r="922" ht="22.5" customHeight="1" spans="1:5">
      <c r="A922" s="7"/>
      <c r="B922" s="7"/>
      <c r="C922" s="29"/>
      <c r="D922" s="7"/>
      <c r="E922" s="7"/>
    </row>
    <row r="923" ht="22.5" customHeight="1" spans="1:5">
      <c r="A923" s="7"/>
      <c r="B923" s="7"/>
      <c r="C923" s="29"/>
      <c r="D923" s="7"/>
      <c r="E923" s="7"/>
    </row>
    <row r="924" ht="22.5" customHeight="1" spans="1:5">
      <c r="A924" s="7"/>
      <c r="B924" s="7"/>
      <c r="C924" s="29"/>
      <c r="D924" s="7"/>
      <c r="E924" s="7"/>
    </row>
    <row r="925" ht="22.5" customHeight="1" spans="1:5">
      <c r="A925" s="7"/>
      <c r="B925" s="7"/>
      <c r="C925" s="29"/>
      <c r="D925" s="7"/>
      <c r="E925" s="7"/>
    </row>
    <row r="926" ht="22.5" customHeight="1" spans="1:5">
      <c r="A926" s="7"/>
      <c r="B926" s="7"/>
      <c r="C926" s="29"/>
      <c r="D926" s="7"/>
      <c r="E926" s="7"/>
    </row>
    <row r="927" ht="22.5" customHeight="1" spans="1:5">
      <c r="A927" s="7"/>
      <c r="B927" s="7"/>
      <c r="C927" s="29"/>
      <c r="D927" s="7"/>
      <c r="E927" s="7"/>
    </row>
    <row r="928" ht="22.5" customHeight="1" spans="1:5">
      <c r="A928" s="7"/>
      <c r="B928" s="7"/>
      <c r="C928" s="29"/>
      <c r="D928" s="7"/>
      <c r="E928" s="7"/>
    </row>
    <row r="929" ht="22.5" customHeight="1" spans="1:5">
      <c r="A929" s="7"/>
      <c r="B929" s="7"/>
      <c r="C929" s="29"/>
      <c r="D929" s="7"/>
      <c r="E929" s="7"/>
    </row>
    <row r="930" ht="22.5" customHeight="1" spans="1:5">
      <c r="A930" s="7"/>
      <c r="B930" s="7"/>
      <c r="C930" s="29"/>
      <c r="D930" s="7"/>
      <c r="E930" s="7"/>
    </row>
    <row r="931" ht="22.5" customHeight="1" spans="1:5">
      <c r="A931" s="7"/>
      <c r="B931" s="7"/>
      <c r="C931" s="29"/>
      <c r="D931" s="7"/>
      <c r="E931" s="7"/>
    </row>
    <row r="932" ht="22.5" customHeight="1" spans="1:5">
      <c r="A932" s="7"/>
      <c r="B932" s="7"/>
      <c r="C932" s="29"/>
      <c r="D932" s="7"/>
      <c r="E932" s="7"/>
    </row>
    <row r="933" ht="22.5" customHeight="1" spans="1:5">
      <c r="A933" s="7"/>
      <c r="B933" s="7"/>
      <c r="C933" s="29"/>
      <c r="D933" s="7"/>
      <c r="E933" s="7"/>
    </row>
    <row r="934" ht="22.5" customHeight="1" spans="1:5">
      <c r="A934" s="7"/>
      <c r="B934" s="7"/>
      <c r="C934" s="29"/>
      <c r="D934" s="7"/>
      <c r="E934" s="7"/>
    </row>
    <row r="935" ht="22.5" customHeight="1" spans="1:5">
      <c r="A935" s="7"/>
      <c r="B935" s="7"/>
      <c r="C935" s="29"/>
      <c r="D935" s="7"/>
      <c r="E935" s="7"/>
    </row>
    <row r="936" ht="22.5" customHeight="1" spans="1:5">
      <c r="A936" s="7"/>
      <c r="B936" s="7"/>
      <c r="C936" s="29"/>
      <c r="D936" s="7"/>
      <c r="E936" s="7"/>
    </row>
    <row r="937" ht="22.5" customHeight="1" spans="1:5">
      <c r="A937" s="7"/>
      <c r="B937" s="7"/>
      <c r="C937" s="29"/>
      <c r="D937" s="7"/>
      <c r="E937" s="7"/>
    </row>
    <row r="938" ht="22.5" customHeight="1" spans="1:5">
      <c r="A938" s="7"/>
      <c r="B938" s="7"/>
      <c r="C938" s="29"/>
      <c r="D938" s="7"/>
      <c r="E938" s="7"/>
    </row>
    <row r="939" ht="22.5" customHeight="1" spans="1:5">
      <c r="A939" s="7"/>
      <c r="B939" s="7"/>
      <c r="C939" s="29"/>
      <c r="D939" s="7"/>
      <c r="E939" s="7"/>
    </row>
    <row r="940" ht="22.5" customHeight="1" spans="1:5">
      <c r="A940" s="7"/>
      <c r="B940" s="7"/>
      <c r="C940" s="29"/>
      <c r="D940" s="7"/>
      <c r="E940" s="7"/>
    </row>
    <row r="941" ht="22.5" customHeight="1" spans="1:5">
      <c r="A941" s="7"/>
      <c r="B941" s="7"/>
      <c r="C941" s="29"/>
      <c r="D941" s="7"/>
      <c r="E941" s="7"/>
    </row>
    <row r="942" ht="22.5" customHeight="1" spans="1:5">
      <c r="A942" s="7"/>
      <c r="B942" s="7"/>
      <c r="C942" s="29"/>
      <c r="D942" s="7"/>
      <c r="E942" s="7"/>
    </row>
    <row r="943" ht="22.5" customHeight="1" spans="1:5">
      <c r="A943" s="7"/>
      <c r="B943" s="7"/>
      <c r="C943" s="29"/>
      <c r="D943" s="7"/>
      <c r="E943" s="7"/>
    </row>
    <row r="944" ht="22.5" customHeight="1" spans="1:5">
      <c r="A944" s="7"/>
      <c r="B944" s="7"/>
      <c r="C944" s="29"/>
      <c r="D944" s="7"/>
      <c r="E944" s="7"/>
    </row>
    <row r="945" ht="22.5" customHeight="1" spans="1:5">
      <c r="A945" s="7"/>
      <c r="B945" s="7"/>
      <c r="C945" s="29"/>
      <c r="D945" s="7"/>
      <c r="E945" s="7"/>
    </row>
    <row r="946" ht="22.5" customHeight="1" spans="1:5">
      <c r="A946" s="7"/>
      <c r="B946" s="7"/>
      <c r="C946" s="29"/>
      <c r="D946" s="7"/>
      <c r="E946" s="7"/>
    </row>
    <row r="947" ht="22.5" customHeight="1" spans="1:5">
      <c r="A947" s="7"/>
      <c r="B947" s="7"/>
      <c r="C947" s="29"/>
      <c r="D947" s="7"/>
      <c r="E947" s="7"/>
    </row>
    <row r="948" ht="22.5" customHeight="1" spans="1:5">
      <c r="A948" s="7"/>
      <c r="B948" s="7"/>
      <c r="C948" s="29"/>
      <c r="D948" s="7"/>
      <c r="E948" s="7"/>
    </row>
    <row r="949" ht="22.5" customHeight="1" spans="1:5">
      <c r="A949" s="7"/>
      <c r="B949" s="7"/>
      <c r="C949" s="29"/>
      <c r="D949" s="7"/>
      <c r="E949" s="7"/>
    </row>
    <row r="950" ht="22.5" customHeight="1" spans="1:5">
      <c r="A950" s="7"/>
      <c r="B950" s="7"/>
      <c r="C950" s="29"/>
      <c r="D950" s="7"/>
      <c r="E950" s="7"/>
    </row>
    <row r="951" ht="22.5" customHeight="1" spans="1:5">
      <c r="A951" s="7"/>
      <c r="B951" s="7"/>
      <c r="C951" s="29"/>
      <c r="D951" s="7"/>
      <c r="E951" s="7"/>
    </row>
    <row r="952" ht="22.5" customHeight="1" spans="1:5">
      <c r="A952" s="7"/>
      <c r="B952" s="7"/>
      <c r="C952" s="29"/>
      <c r="D952" s="7"/>
      <c r="E952" s="7"/>
    </row>
    <row r="953" ht="22.5" customHeight="1" spans="1:5">
      <c r="A953" s="7"/>
      <c r="B953" s="7"/>
      <c r="C953" s="29"/>
      <c r="D953" s="7"/>
      <c r="E953" s="7"/>
    </row>
    <row r="954" ht="22.5" customHeight="1" spans="1:5">
      <c r="A954" s="7"/>
      <c r="B954" s="7"/>
      <c r="C954" s="29"/>
      <c r="D954" s="7"/>
      <c r="E954" s="7"/>
    </row>
    <row r="955" ht="22.5" customHeight="1" spans="1:5">
      <c r="A955" s="7"/>
      <c r="B955" s="7"/>
      <c r="C955" s="29"/>
      <c r="D955" s="7"/>
      <c r="E955" s="7"/>
    </row>
    <row r="956" ht="22.5" customHeight="1" spans="1:5">
      <c r="A956" s="7"/>
      <c r="B956" s="7"/>
      <c r="C956" s="29"/>
      <c r="D956" s="7"/>
      <c r="E956" s="7"/>
    </row>
    <row r="957" ht="22.5" customHeight="1" spans="1:5">
      <c r="A957" s="7"/>
      <c r="B957" s="7"/>
      <c r="C957" s="29"/>
      <c r="D957" s="7"/>
      <c r="E957" s="7"/>
    </row>
    <row r="958" ht="22.5" customHeight="1" spans="1:5">
      <c r="A958" s="7"/>
      <c r="B958" s="7"/>
      <c r="C958" s="29"/>
      <c r="D958" s="7"/>
      <c r="E958" s="7"/>
    </row>
    <row r="959" ht="22.5" customHeight="1" spans="1:5">
      <c r="A959" s="7"/>
      <c r="B959" s="7"/>
      <c r="C959" s="29"/>
      <c r="D959" s="7"/>
      <c r="E959" s="7"/>
    </row>
    <row r="960" ht="22.5" customHeight="1" spans="1:5">
      <c r="A960" s="7"/>
      <c r="B960" s="7"/>
      <c r="C960" s="29"/>
      <c r="D960" s="7"/>
      <c r="E960" s="7"/>
    </row>
    <row r="961" ht="22.5" customHeight="1" spans="1:5">
      <c r="A961" s="7"/>
      <c r="B961" s="7"/>
      <c r="C961" s="29"/>
      <c r="D961" s="7"/>
      <c r="E961" s="7"/>
    </row>
    <row r="962" ht="22.5" customHeight="1" spans="1:5">
      <c r="A962" s="7"/>
      <c r="B962" s="7"/>
      <c r="C962" s="29"/>
      <c r="D962" s="7"/>
      <c r="E962" s="7"/>
    </row>
    <row r="963" ht="22.5" customHeight="1" spans="1:5">
      <c r="A963" s="7"/>
      <c r="B963" s="7"/>
      <c r="C963" s="29"/>
      <c r="D963" s="7"/>
      <c r="E963" s="7"/>
    </row>
    <row r="964" ht="22.5" customHeight="1" spans="1:5">
      <c r="A964" s="7"/>
      <c r="B964" s="7"/>
      <c r="C964" s="29"/>
      <c r="D964" s="7"/>
      <c r="E964" s="7"/>
    </row>
    <row r="965" ht="22.5" customHeight="1" spans="1:5">
      <c r="A965" s="7"/>
      <c r="B965" s="7"/>
      <c r="C965" s="29"/>
      <c r="D965" s="7"/>
      <c r="E965" s="7"/>
    </row>
    <row r="966" ht="22.5" customHeight="1" spans="1:5">
      <c r="A966" s="7"/>
      <c r="B966" s="7"/>
      <c r="C966" s="29"/>
      <c r="D966" s="7"/>
      <c r="E966" s="7"/>
    </row>
    <row r="967" ht="22.5" customHeight="1" spans="1:5">
      <c r="A967" s="7"/>
      <c r="B967" s="7"/>
      <c r="C967" s="29"/>
      <c r="D967" s="7"/>
      <c r="E967" s="7"/>
    </row>
    <row r="968" ht="22.5" customHeight="1" spans="1:5">
      <c r="A968" s="7"/>
      <c r="B968" s="7"/>
      <c r="C968" s="29"/>
      <c r="D968" s="7"/>
      <c r="E968" s="7"/>
    </row>
    <row r="969" ht="22.5" customHeight="1" spans="1:5">
      <c r="A969" s="7"/>
      <c r="B969" s="7"/>
      <c r="C969" s="29"/>
      <c r="D969" s="7"/>
      <c r="E969" s="7"/>
    </row>
    <row r="970" ht="22.5" customHeight="1" spans="1:5">
      <c r="A970" s="7"/>
      <c r="B970" s="7"/>
      <c r="C970" s="29"/>
      <c r="D970" s="7"/>
      <c r="E970" s="7"/>
    </row>
    <row r="971" ht="22.5" customHeight="1" spans="1:5">
      <c r="A971" s="7"/>
      <c r="B971" s="7"/>
      <c r="C971" s="29"/>
      <c r="D971" s="7"/>
      <c r="E971" s="7"/>
    </row>
    <row r="972" ht="22.5" customHeight="1" spans="1:5">
      <c r="A972" s="7"/>
      <c r="B972" s="7"/>
      <c r="C972" s="29"/>
      <c r="D972" s="7"/>
      <c r="E972" s="7"/>
    </row>
    <row r="973" ht="22.5" customHeight="1" spans="1:5">
      <c r="A973" s="7"/>
      <c r="B973" s="7"/>
      <c r="C973" s="29"/>
      <c r="D973" s="7"/>
      <c r="E973" s="7"/>
    </row>
    <row r="974" ht="22.5" customHeight="1" spans="1:5">
      <c r="A974" s="7"/>
      <c r="B974" s="7"/>
      <c r="C974" s="29"/>
      <c r="D974" s="7"/>
      <c r="E974" s="7"/>
    </row>
    <row r="975" ht="22.5" customHeight="1" spans="1:5">
      <c r="A975" s="7"/>
      <c r="B975" s="7"/>
      <c r="C975" s="29"/>
      <c r="D975" s="7"/>
      <c r="E975" s="7"/>
    </row>
    <row r="976" ht="22.5" customHeight="1" spans="1:5">
      <c r="A976" s="7"/>
      <c r="B976" s="7"/>
      <c r="C976" s="29"/>
      <c r="D976" s="7"/>
      <c r="E976" s="7"/>
    </row>
    <row r="977" ht="22.5" customHeight="1" spans="1:5">
      <c r="A977" s="7"/>
      <c r="B977" s="7"/>
      <c r="C977" s="29"/>
      <c r="D977" s="7"/>
      <c r="E977" s="7"/>
    </row>
    <row r="978" ht="22.5" customHeight="1" spans="1:5">
      <c r="A978" s="7"/>
      <c r="B978" s="7"/>
      <c r="C978" s="29"/>
      <c r="D978" s="7"/>
      <c r="E978" s="7"/>
    </row>
    <row r="979" ht="22.5" customHeight="1" spans="1:5">
      <c r="A979" s="7"/>
      <c r="B979" s="7"/>
      <c r="C979" s="29"/>
      <c r="D979" s="7"/>
      <c r="E979" s="7"/>
    </row>
    <row r="980" ht="22.5" customHeight="1" spans="1:5">
      <c r="A980" s="7"/>
      <c r="B980" s="7"/>
      <c r="C980" s="29"/>
      <c r="D980" s="7"/>
      <c r="E980" s="7"/>
    </row>
    <row r="981" ht="22.5" customHeight="1" spans="1:5">
      <c r="A981" s="7"/>
      <c r="B981" s="7"/>
      <c r="C981" s="29"/>
      <c r="D981" s="7"/>
      <c r="E981" s="7"/>
    </row>
    <row r="982" ht="22.5" customHeight="1" spans="1:5">
      <c r="A982" s="7"/>
      <c r="B982" s="7"/>
      <c r="C982" s="29"/>
      <c r="D982" s="7"/>
      <c r="E982" s="7"/>
    </row>
    <row r="983" ht="22.5" customHeight="1" spans="1:5">
      <c r="A983" s="7"/>
      <c r="B983" s="7"/>
      <c r="C983" s="29"/>
      <c r="D983" s="7"/>
      <c r="E983" s="7"/>
    </row>
    <row r="984" ht="22.5" customHeight="1" spans="1:5">
      <c r="A984" s="7"/>
      <c r="B984" s="7"/>
      <c r="C984" s="29"/>
      <c r="D984" s="7"/>
      <c r="E984" s="7"/>
    </row>
    <row r="985" ht="22.5" customHeight="1" spans="1:5">
      <c r="A985" s="7"/>
      <c r="B985" s="7"/>
      <c r="C985" s="29"/>
      <c r="D985" s="7"/>
      <c r="E985" s="7"/>
    </row>
    <row r="986" ht="22.5" customHeight="1" spans="1:5">
      <c r="A986" s="7"/>
      <c r="B986" s="7"/>
      <c r="C986" s="29"/>
      <c r="D986" s="7"/>
      <c r="E986" s="7"/>
    </row>
    <row r="987" ht="22.5" customHeight="1" spans="1:5">
      <c r="A987" s="7"/>
      <c r="B987" s="7"/>
      <c r="C987" s="29"/>
      <c r="D987" s="7"/>
      <c r="E987" s="7"/>
    </row>
    <row r="988" ht="22.5" customHeight="1" spans="1:5">
      <c r="A988" s="7"/>
      <c r="B988" s="7"/>
      <c r="C988" s="29"/>
      <c r="D988" s="7"/>
      <c r="E988" s="7"/>
    </row>
    <row r="989" ht="22.5" customHeight="1" spans="1:5">
      <c r="A989" s="7"/>
      <c r="B989" s="7"/>
      <c r="C989" s="29"/>
      <c r="D989" s="7"/>
      <c r="E989" s="7"/>
    </row>
    <row r="990" ht="22.5" customHeight="1" spans="1:5">
      <c r="A990" s="7"/>
      <c r="B990" s="7"/>
      <c r="C990" s="29"/>
      <c r="D990" s="7"/>
      <c r="E990" s="7"/>
    </row>
    <row r="991" ht="22.5" customHeight="1" spans="1:5">
      <c r="A991" s="7"/>
      <c r="B991" s="7"/>
      <c r="C991" s="29"/>
      <c r="D991" s="7"/>
      <c r="E991" s="7"/>
    </row>
    <row r="992" ht="22.5" customHeight="1" spans="1:5">
      <c r="A992" s="7"/>
      <c r="B992" s="7"/>
      <c r="C992" s="29"/>
      <c r="D992" s="7"/>
      <c r="E992" s="7"/>
    </row>
    <row r="993" ht="22.5" customHeight="1" spans="1:5">
      <c r="A993" s="7"/>
      <c r="B993" s="7"/>
      <c r="C993" s="29"/>
      <c r="D993" s="7"/>
      <c r="E993" s="7"/>
    </row>
    <row r="994" ht="22.5" customHeight="1" spans="1:5">
      <c r="A994" s="7"/>
      <c r="B994" s="7"/>
      <c r="C994" s="29"/>
      <c r="D994" s="7"/>
      <c r="E994" s="7"/>
    </row>
    <row r="995" ht="22.5" customHeight="1" spans="1:5">
      <c r="A995" s="7"/>
      <c r="B995" s="7"/>
      <c r="C995" s="29"/>
      <c r="D995" s="7"/>
      <c r="E995" s="7"/>
    </row>
    <row r="996" ht="22.5" customHeight="1" spans="1:5">
      <c r="A996" s="7"/>
      <c r="B996" s="7"/>
      <c r="C996" s="29"/>
      <c r="D996" s="7"/>
      <c r="E996" s="7"/>
    </row>
    <row r="997" ht="22.5" customHeight="1" spans="1:5">
      <c r="A997" s="7"/>
      <c r="B997" s="7"/>
      <c r="C997" s="29"/>
      <c r="D997" s="7"/>
      <c r="E997" s="7"/>
    </row>
    <row r="998" ht="22.5" customHeight="1" spans="1:5">
      <c r="A998" s="7"/>
      <c r="B998" s="7"/>
      <c r="C998" s="29"/>
      <c r="D998" s="7"/>
      <c r="E998" s="7"/>
    </row>
    <row r="999" ht="22.5" customHeight="1" spans="1:5">
      <c r="A999" s="7"/>
      <c r="B999" s="7"/>
      <c r="C999" s="29"/>
      <c r="D999" s="7"/>
      <c r="E999" s="7"/>
    </row>
    <row r="1000" ht="22.5" customHeight="1" spans="1:5">
      <c r="A1000" s="7"/>
      <c r="B1000" s="7"/>
      <c r="C1000" s="29"/>
      <c r="D1000" s="7"/>
      <c r="E1000" s="7"/>
    </row>
    <row r="1001" ht="22.5" customHeight="1" spans="1:5">
      <c r="A1001" s="7"/>
      <c r="B1001" s="7"/>
      <c r="C1001" s="29"/>
      <c r="D1001" s="7"/>
      <c r="E1001" s="7"/>
    </row>
    <row r="1002" ht="22.5" customHeight="1" spans="1:5">
      <c r="A1002" s="7"/>
      <c r="B1002" s="7"/>
      <c r="C1002" s="29"/>
      <c r="D1002" s="7"/>
      <c r="E1002" s="7"/>
    </row>
    <row r="1003" ht="22.5" customHeight="1" spans="1:5">
      <c r="A1003" s="7"/>
      <c r="B1003" s="7"/>
      <c r="C1003" s="29"/>
      <c r="D1003" s="7"/>
      <c r="E1003" s="7"/>
    </row>
    <row r="1004" ht="22.5" customHeight="1" spans="1:5">
      <c r="A1004" s="7"/>
      <c r="B1004" s="7"/>
      <c r="C1004" s="29"/>
      <c r="D1004" s="7"/>
      <c r="E1004" s="7"/>
    </row>
    <row r="1005" ht="22.5" customHeight="1" spans="1:5">
      <c r="A1005" s="7"/>
      <c r="B1005" s="7"/>
      <c r="C1005" s="29"/>
      <c r="D1005" s="7"/>
      <c r="E1005" s="7"/>
    </row>
    <row r="1006" ht="22.5" customHeight="1" spans="1:5">
      <c r="A1006" s="7"/>
      <c r="B1006" s="7"/>
      <c r="C1006" s="29"/>
      <c r="D1006" s="7"/>
      <c r="E1006" s="7"/>
    </row>
    <row r="1007" ht="22.5" customHeight="1" spans="1:5">
      <c r="A1007" s="7"/>
      <c r="B1007" s="7"/>
      <c r="C1007" s="29"/>
      <c r="D1007" s="7"/>
      <c r="E1007" s="7"/>
    </row>
    <row r="1008" ht="22.5" customHeight="1" spans="1:5">
      <c r="A1008" s="7"/>
      <c r="B1008" s="7"/>
      <c r="C1008" s="29"/>
      <c r="D1008" s="7"/>
      <c r="E1008" s="7"/>
    </row>
    <row r="1009" ht="22.5" customHeight="1" spans="1:5">
      <c r="A1009" s="7"/>
      <c r="B1009" s="7"/>
      <c r="C1009" s="29"/>
      <c r="D1009" s="7"/>
      <c r="E1009" s="7"/>
    </row>
    <row r="1010" ht="22.5" customHeight="1" spans="1:5">
      <c r="A1010" s="7"/>
      <c r="B1010" s="7"/>
      <c r="C1010" s="29"/>
      <c r="D1010" s="7"/>
      <c r="E1010" s="7"/>
    </row>
    <row r="1011" ht="22.5" customHeight="1" spans="1:5">
      <c r="A1011" s="7"/>
      <c r="B1011" s="7"/>
      <c r="C1011" s="29"/>
      <c r="D1011" s="7"/>
      <c r="E1011" s="7"/>
    </row>
    <row r="1012" ht="22.5" customHeight="1" spans="1:5">
      <c r="A1012" s="7"/>
      <c r="B1012" s="7"/>
      <c r="C1012" s="29"/>
      <c r="D1012" s="7"/>
      <c r="E1012" s="7"/>
    </row>
    <row r="1013" ht="22.5" customHeight="1" spans="1:5">
      <c r="A1013" s="7"/>
      <c r="B1013" s="7"/>
      <c r="C1013" s="29"/>
      <c r="D1013" s="7"/>
      <c r="E1013" s="7"/>
    </row>
    <row r="1014" ht="22.5" customHeight="1" spans="1:5">
      <c r="A1014" s="7"/>
      <c r="B1014" s="7"/>
      <c r="C1014" s="29"/>
      <c r="D1014" s="7"/>
      <c r="E1014" s="7"/>
    </row>
    <row r="1015" ht="22.5" customHeight="1" spans="1:5">
      <c r="A1015" s="7"/>
      <c r="B1015" s="7"/>
      <c r="C1015" s="29"/>
      <c r="D1015" s="7"/>
      <c r="E1015" s="7"/>
    </row>
    <row r="1016" ht="22.5" customHeight="1" spans="1:5">
      <c r="A1016" s="7"/>
      <c r="B1016" s="7"/>
      <c r="C1016" s="29"/>
      <c r="D1016" s="7"/>
      <c r="E1016" s="7"/>
    </row>
    <row r="1017" ht="22.5" customHeight="1" spans="1:5">
      <c r="A1017" s="7"/>
      <c r="B1017" s="7"/>
      <c r="C1017" s="29"/>
      <c r="D1017" s="7"/>
      <c r="E1017" s="7"/>
    </row>
    <row r="1018" ht="22.5" customHeight="1" spans="1:5">
      <c r="A1018" s="7"/>
      <c r="B1018" s="7"/>
      <c r="C1018" s="29"/>
      <c r="D1018" s="7"/>
      <c r="E1018" s="7"/>
    </row>
    <row r="1019" ht="22.5" customHeight="1" spans="1:5">
      <c r="A1019" s="7"/>
      <c r="B1019" s="7"/>
      <c r="C1019" s="29"/>
      <c r="D1019" s="7"/>
      <c r="E1019" s="7"/>
    </row>
    <row r="1020" ht="22.5" customHeight="1" spans="1:5">
      <c r="A1020" s="7"/>
      <c r="B1020" s="7"/>
      <c r="C1020" s="29"/>
      <c r="D1020" s="7"/>
      <c r="E1020" s="7"/>
    </row>
  </sheetData>
  <customSheetViews>
    <customSheetView guid="{4850914D-A4D5-4C72-8749-51399BFCB679}" filter="1" showAutoFilter="1">
      <autoFilter ref="A1:E1020"/>
    </customSheetView>
    <customSheetView guid="{95D72748-0FC7-4AED-8E5D-C0DE7A35FBEB}" filter="1" showAutoFilter="1">
      <autoFilter ref="A1:E1020"/>
    </customSheetView>
  </customSheetViews>
  <dataValidations count="3">
    <dataValidation type="list" allowBlank="1" sqref="B2:B1020">
      <formula1>"Byron,Antonio,Felipe,Sophie,Kaiso,Pancho"</formula1>
    </dataValidation>
    <dataValidation type="custom" allowBlank="1" sqref="C2:C1020">
      <formula1>OR(NOT(ISERROR(DATEVALUE(C2))),AND(ISNUMBER(C2),LEFT(CELL("format",C2))="D"))</formula1>
    </dataValidation>
    <dataValidation type="custom" allowBlank="1" sqref="D2:D1020">
      <formula1>AND(ISNUMBER(D2),(NOT(OR(NOT(ISERROR(DATEVALUE(D2))),AND(ISNUMBER(D2),LEFT(CELL("format",D2))="D")))))</formula1>
    </dataValidation>
  </dataValidations>
  <hyperlinks>
    <hyperlink ref="E4" r:id="rId2" display="Prueba adaptacion de healthconnect basado en este: https://github.com/EagleDelux/androidx.health-connect-demo-.net-maui"/>
  </hyperlinks>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00FF"/>
    <outlinePr summaryBelow="0" summaryRight="0"/>
  </sheetPr>
  <dimension ref="A1:M15"/>
  <sheetViews>
    <sheetView workbookViewId="0">
      <pane ySplit="1" topLeftCell="A2" activePane="bottomLeft" state="frozen"/>
      <selection/>
      <selection pane="bottomLeft" activeCell="B3" sqref="B3"/>
    </sheetView>
  </sheetViews>
  <sheetFormatPr defaultColWidth="11.2166666666667" defaultRowHeight="15.75" customHeight="1"/>
  <cols>
    <col min="1" max="3" width="20.1083333333333" customWidth="1"/>
    <col min="4" max="4" width="65.5583333333333" customWidth="1"/>
  </cols>
  <sheetData>
    <row r="1" ht="22.5" customHeight="1" spans="1:13">
      <c r="A1" s="1" t="s">
        <v>0</v>
      </c>
      <c r="B1" s="1" t="s">
        <v>126</v>
      </c>
      <c r="C1" s="1" t="s">
        <v>127</v>
      </c>
      <c r="D1" s="1" t="s">
        <v>201</v>
      </c>
    </row>
    <row r="2" ht="22.5" customHeight="1" spans="1:13">
      <c r="A2" s="3">
        <v>3</v>
      </c>
      <c r="B2" s="4" t="s">
        <v>31</v>
      </c>
      <c r="C2" s="27">
        <v>45955</v>
      </c>
      <c r="D2" s="28" t="s">
        <v>202</v>
      </c>
    </row>
    <row r="3" ht="22.5" customHeight="1" spans="1:13">
      <c r="A3" s="6">
        <v>7</v>
      </c>
      <c r="B3" s="7" t="s">
        <v>31</v>
      </c>
      <c r="C3" s="29">
        <v>45957</v>
      </c>
      <c r="D3" s="30" t="s">
        <v>203</v>
      </c>
      <c r="F3" s="13" t="s">
        <v>204</v>
      </c>
      <c r="G3" s="14" t="s">
        <v>205</v>
      </c>
      <c r="H3" s="15"/>
      <c r="I3" s="15"/>
      <c r="J3" s="15"/>
      <c r="K3" s="15"/>
      <c r="L3" s="15"/>
      <c r="M3" s="16"/>
    </row>
    <row r="4" ht="22.5" customHeight="1" spans="1:13">
      <c r="A4" s="6">
        <v>3</v>
      </c>
      <c r="B4" s="7" t="s">
        <v>31</v>
      </c>
      <c r="C4" s="29">
        <v>45965</v>
      </c>
      <c r="D4" s="30" t="s">
        <v>206</v>
      </c>
      <c r="F4" s="17"/>
      <c r="G4" s="18"/>
      <c r="H4" s="19"/>
      <c r="I4" s="19"/>
      <c r="J4" s="19"/>
      <c r="K4" s="19"/>
      <c r="L4" s="19"/>
      <c r="M4" s="20"/>
    </row>
    <row r="5" ht="22.5" customHeight="1" spans="1:13">
      <c r="A5" s="6"/>
      <c r="B5" s="7"/>
      <c r="C5" s="29"/>
      <c r="D5" s="30"/>
    </row>
    <row r="6" ht="22.5" customHeight="1" spans="1:13">
      <c r="A6" s="6"/>
      <c r="B6" s="7"/>
      <c r="C6" s="29"/>
      <c r="D6" s="30"/>
    </row>
    <row r="7" ht="22.5" customHeight="1" spans="1:13">
      <c r="A7" s="6"/>
      <c r="B7" s="7"/>
      <c r="C7" s="29"/>
      <c r="D7" s="30"/>
    </row>
    <row r="8" ht="22.5" customHeight="1" spans="1:13">
      <c r="A8" s="6"/>
      <c r="B8" s="7"/>
      <c r="C8" s="29"/>
      <c r="D8" s="30"/>
    </row>
    <row r="9" ht="22.5" customHeight="1" spans="1:13">
      <c r="A9" s="6"/>
      <c r="B9" s="7"/>
      <c r="C9" s="29"/>
      <c r="D9" s="30"/>
    </row>
    <row r="10" ht="22.5" customHeight="1" spans="1:13">
      <c r="A10" s="6"/>
      <c r="B10" s="7"/>
      <c r="C10" s="29"/>
      <c r="D10" s="30"/>
    </row>
    <row r="11" ht="22.5" customHeight="1" spans="1:13">
      <c r="A11" s="6"/>
      <c r="B11" s="7"/>
      <c r="C11" s="29"/>
      <c r="D11" s="30"/>
    </row>
    <row r="12" ht="22.5" customHeight="1" spans="1:13">
      <c r="A12" s="6"/>
      <c r="B12" s="7"/>
      <c r="C12" s="29"/>
      <c r="D12" s="30"/>
    </row>
    <row r="13" ht="22.5" customHeight="1" spans="1:13">
      <c r="A13" s="6"/>
      <c r="B13" s="7"/>
      <c r="C13" s="29"/>
      <c r="D13" s="30"/>
    </row>
    <row r="14" ht="22.5" customHeight="1" spans="1:13">
      <c r="A14" s="6"/>
      <c r="B14" s="7"/>
      <c r="C14" s="29"/>
      <c r="D14" s="30"/>
    </row>
    <row r="15" ht="22.5" customHeight="1" spans="1:13">
      <c r="A15" s="22"/>
      <c r="B15" s="25"/>
      <c r="C15" s="31"/>
      <c r="D15" s="32"/>
    </row>
  </sheetData>
  <customSheetViews>
    <customSheetView guid="{4850914D-A4D5-4C72-8749-51399BFCB679}" filter="1" showAutoFilter="1">
      <autoFilter ref="A1:D15"/>
    </customSheetView>
    <customSheetView guid="{95D72748-0FC7-4AED-8E5D-C0DE7A35FBEB}" filter="1" showAutoFilter="1">
      <autoFilter ref="A1:D15"/>
    </customSheetView>
  </customSheetViews>
  <mergeCells count="2">
    <mergeCell ref="F3:F4"/>
    <mergeCell ref="G3:M4"/>
  </mergeCells>
  <dataValidations count="3">
    <dataValidation type="list" allowBlank="1" sqref="B2:B15">
      <formula1>"Byron,Antonio,Felipe,Sophie,Kaiso,Pancho"</formula1>
    </dataValidation>
    <dataValidation type="custom" allowBlank="1" sqref="C2:C15">
      <formula1>OR(NOT(ISERROR(DATEVALUE(C2))),AND(ISNUMBER(C2),LEFT(CELL("format",C2))="D"))</formula1>
    </dataValidation>
    <dataValidation allowBlank="1" sqref="D2:D15"/>
  </dataValidations>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FF"/>
    <outlinePr summaryBelow="0" summaryRight="0"/>
  </sheetPr>
  <dimension ref="A1:O15"/>
  <sheetViews>
    <sheetView workbookViewId="0">
      <pane ySplit="1" topLeftCell="A2" activePane="bottomLeft" state="frozen"/>
      <selection/>
      <selection pane="bottomLeft" activeCell="B3" sqref="B3"/>
    </sheetView>
  </sheetViews>
  <sheetFormatPr defaultColWidth="11.2166666666667" defaultRowHeight="15.75" customHeight="1"/>
  <cols>
    <col min="1" max="1" width="20.1083333333333" customWidth="1"/>
    <col min="2" max="2" width="68" customWidth="1"/>
    <col min="3" max="5" width="20.1083333333333" customWidth="1"/>
  </cols>
  <sheetData>
    <row r="1" ht="22.5" customHeight="1" spans="1:15">
      <c r="A1" s="1" t="s">
        <v>0</v>
      </c>
      <c r="B1" s="1" t="s">
        <v>207</v>
      </c>
      <c r="C1" s="1" t="s">
        <v>208</v>
      </c>
      <c r="D1" s="1" t="s">
        <v>209</v>
      </c>
      <c r="E1" s="1" t="s">
        <v>210</v>
      </c>
    </row>
    <row r="2" ht="22.5" customHeight="1" spans="1:15">
      <c r="A2" s="3" t="s">
        <v>211</v>
      </c>
      <c r="B2" s="9" t="s">
        <v>212</v>
      </c>
      <c r="C2" s="10" t="b">
        <v>1</v>
      </c>
      <c r="D2" s="4">
        <v>1.5</v>
      </c>
      <c r="E2" s="5">
        <v>0</v>
      </c>
    </row>
    <row r="3" ht="22.5" customHeight="1" spans="1:15">
      <c r="A3" s="6" t="s">
        <v>132</v>
      </c>
      <c r="B3" s="11" t="s">
        <v>213</v>
      </c>
      <c r="C3" s="12" t="b">
        <v>1</v>
      </c>
      <c r="D3" s="7">
        <v>2</v>
      </c>
      <c r="E3" s="8">
        <v>1</v>
      </c>
      <c r="G3" s="13" t="s">
        <v>204</v>
      </c>
      <c r="H3" s="14" t="s">
        <v>214</v>
      </c>
      <c r="I3" s="15"/>
      <c r="J3" s="15"/>
      <c r="K3" s="15"/>
      <c r="L3" s="15"/>
      <c r="M3" s="15"/>
      <c r="N3" s="15"/>
      <c r="O3" s="16"/>
    </row>
    <row r="4" ht="22.5" customHeight="1" spans="1:15">
      <c r="A4" s="6"/>
      <c r="B4" s="11"/>
      <c r="C4" s="12"/>
      <c r="D4" s="7"/>
      <c r="E4" s="8"/>
      <c r="G4" s="17"/>
      <c r="H4" s="18"/>
      <c r="I4" s="19"/>
      <c r="J4" s="19"/>
      <c r="K4" s="19"/>
      <c r="L4" s="19"/>
      <c r="M4" s="19"/>
      <c r="N4" s="19"/>
      <c r="O4" s="20"/>
    </row>
    <row r="5" ht="22.5" customHeight="1" spans="1:15">
      <c r="A5" s="6"/>
      <c r="B5" s="11"/>
      <c r="C5" s="12"/>
      <c r="D5" s="7"/>
      <c r="E5" s="8"/>
      <c r="H5" s="21"/>
      <c r="I5" s="21"/>
      <c r="J5" s="21"/>
    </row>
    <row r="6" ht="22.5" customHeight="1" spans="1:15">
      <c r="A6" s="6"/>
      <c r="B6" s="11"/>
      <c r="C6" s="12"/>
      <c r="D6" s="7"/>
      <c r="E6" s="8"/>
      <c r="H6" s="21"/>
      <c r="I6" s="21"/>
      <c r="J6" s="21"/>
    </row>
    <row r="7" ht="22.5" customHeight="1" spans="1:15">
      <c r="A7" s="6"/>
      <c r="B7" s="11"/>
      <c r="C7" s="12"/>
      <c r="D7" s="7"/>
      <c r="E7" s="8"/>
      <c r="H7" s="21"/>
      <c r="I7" s="21"/>
      <c r="J7" s="21"/>
    </row>
    <row r="8" ht="22.5" customHeight="1" spans="1:15">
      <c r="A8" s="6"/>
      <c r="B8" s="11"/>
      <c r="C8" s="12"/>
      <c r="D8" s="7"/>
      <c r="E8" s="8"/>
      <c r="H8" s="21"/>
      <c r="I8" s="21"/>
      <c r="J8" s="21"/>
    </row>
    <row r="9" ht="22.5" customHeight="1" spans="1:15">
      <c r="A9" s="6"/>
      <c r="B9" s="11"/>
      <c r="C9" s="12"/>
      <c r="D9" s="7"/>
      <c r="E9" s="8"/>
      <c r="H9" s="21"/>
      <c r="I9" s="21"/>
      <c r="J9" s="21"/>
    </row>
    <row r="10" ht="22.5" customHeight="1" spans="1:15">
      <c r="A10" s="6"/>
      <c r="B10" s="11"/>
      <c r="C10" s="12"/>
      <c r="D10" s="7"/>
      <c r="E10" s="8"/>
    </row>
    <row r="11" ht="22.5" customHeight="1" spans="1:15">
      <c r="A11" s="6"/>
      <c r="B11" s="11"/>
      <c r="C11" s="12"/>
      <c r="D11" s="7"/>
      <c r="E11" s="8"/>
    </row>
    <row r="12" ht="22.5" customHeight="1" spans="1:15">
      <c r="A12" s="6"/>
      <c r="B12" s="11"/>
      <c r="C12" s="12"/>
      <c r="D12" s="7"/>
      <c r="E12" s="8"/>
    </row>
    <row r="13" ht="22.5" customHeight="1" spans="1:15">
      <c r="A13" s="6"/>
      <c r="B13" s="11"/>
      <c r="C13" s="12"/>
      <c r="D13" s="7"/>
      <c r="E13" s="8"/>
    </row>
    <row r="14" ht="22.5" customHeight="1" spans="1:15">
      <c r="A14" s="6"/>
      <c r="B14" s="11"/>
      <c r="C14" s="12"/>
      <c r="D14" s="7"/>
      <c r="E14" s="8"/>
    </row>
    <row r="15" ht="22.5" customHeight="1" spans="1:15">
      <c r="A15" s="22"/>
      <c r="B15" s="23"/>
      <c r="C15" s="24"/>
      <c r="D15" s="25"/>
      <c r="E15" s="26"/>
    </row>
  </sheetData>
  <customSheetViews>
    <customSheetView guid="{5E832DD7-74A6-49C0-96EE-F4A5B586C29A}" filter="1" showAutoFilter="1">
      <autoFilter ref="A1:E15"/>
    </customSheetView>
    <customSheetView guid="{369FA81C-3901-404F-9755-45EA74BF26E3}" filter="1" showAutoFilter="1">
      <autoFilter ref="A1:E15"/>
    </customSheetView>
  </customSheetViews>
  <mergeCells count="2">
    <mergeCell ref="G3:G4"/>
    <mergeCell ref="H3:O4"/>
  </mergeCells>
  <dataValidations count="2">
    <dataValidation allowBlank="1" sqref="B2:B15"/>
    <dataValidation type="custom" allowBlank="1" sqref="D2:E15">
      <formula1>AND(ISNUMBER(D2),(NOT(OR(NOT(ISERROR(DATEVALUE(D2))),AND(ISNUMBER(D2),LEFT(CELL("format",D2))="D")))))</formula1>
    </dataValidation>
  </dataValidations>
  <pageMargins left="0.75" right="0.75" top="1" bottom="1" header="0.5" footer="0.5"/>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outlinePr summaryBelow="0" summaryRight="0"/>
  </sheetPr>
  <dimension ref="A1:I23"/>
  <sheetViews>
    <sheetView workbookViewId="0">
      <pane ySplit="1" topLeftCell="A2" activePane="bottomLeft" state="frozen"/>
      <selection/>
      <selection pane="bottomLeft" activeCell="B3" sqref="B3"/>
    </sheetView>
  </sheetViews>
  <sheetFormatPr defaultColWidth="11.2166666666667" defaultRowHeight="15.75" customHeight="1"/>
  <cols>
    <col min="1" max="1" width="10.8916666666667" customWidth="1"/>
    <col min="2" max="3" width="20.1083333333333" customWidth="1"/>
    <col min="4" max="4" width="21.3333333333333" customWidth="1"/>
    <col min="5" max="5" width="16.5583333333333" customWidth="1"/>
    <col min="6" max="6" width="15" customWidth="1"/>
    <col min="7" max="7" width="20.1083333333333" customWidth="1"/>
    <col min="8" max="8" width="18" customWidth="1"/>
    <col min="9" max="9" width="24" customWidth="1"/>
  </cols>
  <sheetData>
    <row r="1" ht="22.5" customHeight="1" spans="1:9">
      <c r="A1" s="1" t="s">
        <v>0</v>
      </c>
      <c r="B1" s="1" t="s">
        <v>215</v>
      </c>
      <c r="C1" s="1" t="s">
        <v>216</v>
      </c>
      <c r="D1" s="1" t="s">
        <v>217</v>
      </c>
      <c r="E1" s="2" t="s">
        <v>218</v>
      </c>
      <c r="F1" s="2" t="s">
        <v>219</v>
      </c>
      <c r="G1" s="1" t="s">
        <v>220</v>
      </c>
      <c r="H1" s="2" t="s">
        <v>221</v>
      </c>
      <c r="I1" s="2" t="s">
        <v>222</v>
      </c>
    </row>
    <row r="2" ht="22.5" customHeight="1" spans="1:9">
      <c r="A2" s="3">
        <f t="array" ref="A2">INDEX('Sprint 3 Backlog'!A:A,ROW(A2))</f>
        <v>1</v>
      </c>
      <c r="B2" s="4">
        <f t="array" ref="B2:B23">IF(ISBLANK(A2:A23),"",IFERROR(VLOOKUP(A2:A23,'Requisitos No Funcionales'!A:A,1,FALSE)*0,IFERROR(VLOOKUP(A2:A23,'Listado de HUs'!A:C,3,FALSE),0)))</f>
        <v>6</v>
      </c>
      <c r="C2" s="4">
        <f t="shared" ref="C2:C23" si="0">B2*6</f>
        <v>36</v>
      </c>
      <c r="D2" s="4">
        <f>IFERROR(__xludf.DUMMYFUNCTION("IFERROR(IF(VLOOKUP(A2, 'Sprint 3 Backlog'!A:I, 9, FALSE)="""", 0, COUNTA(SPLIT(VLOOKUP(A2, 'Sprint 3 Backlog'!A:I, 9, FALSE), "",""))), 0)
"),2)</f>
        <v>2</v>
      </c>
      <c r="E2" s="4">
        <f>IFERROR(__xludf.DUMMYFUNCTION("FILTER('Sprint 3 Backlog'!G2:G23, LEN('Sprint 3 Backlog'!G2:G23))"),1)</f>
        <v>1</v>
      </c>
      <c r="F2" s="4">
        <f t="shared" ref="F2:F23" si="1">E2-C2</f>
        <v>-35</v>
      </c>
      <c r="G2" s="4">
        <f>COUNTIFS('Registro de Incidentes'!A:A,A2,'Registro de Incidentes'!C:C,TRUE)</f>
        <v>0</v>
      </c>
      <c r="H2" s="4">
        <f>IF(COUNTIF('Registro de Incidentes'!A:A,A2)=0,0,SUMIF('Registro de Incidentes'!A:A,A2,'Registro de Incidentes'!D:D))</f>
        <v>0</v>
      </c>
      <c r="I2" s="5">
        <f>IF(COUNTIF('Registro de Incidentes'!A:A,A2)=0,0,SUMIF('Registro de Incidentes'!A:A,A2,'Registro de Incidentes'!E:E))</f>
        <v>0</v>
      </c>
    </row>
    <row r="3" ht="22.5" customHeight="1" spans="1:9">
      <c r="A3" s="6">
        <f t="array" ref="A3">INDEX('Sprint 3 Backlog'!A:A,ROW(A3))</f>
        <v>2</v>
      </c>
      <c r="B3" s="7">
        <v>8</v>
      </c>
      <c r="C3" s="7">
        <f t="shared" si="0"/>
        <v>48</v>
      </c>
      <c r="D3" s="7">
        <f>IFERROR(__xludf.DUMMYFUNCTION("IFERROR(IF(VLOOKUP(A3, 'Sprint 3 Backlog'!A:I, 9, FALSE)="""", 0, COUNTA(SPLIT(VLOOKUP(A3, 'Sprint 3 Backlog'!A:I, 9, FALSE), "",""))), 0)
"),2)</f>
        <v>2</v>
      </c>
      <c r="E3" s="7">
        <f>IFERROR(__xludf.DUMMYFUNCTION("""COMPUTED_VALUE"""),11)</f>
        <v>11</v>
      </c>
      <c r="F3" s="7">
        <f t="shared" si="1"/>
        <v>-37</v>
      </c>
      <c r="G3" s="7">
        <f>COUNTIFS('Registro de Incidentes'!A:A,A3,'Registro de Incidentes'!C:C,TRUE)</f>
        <v>0</v>
      </c>
      <c r="H3" s="7">
        <f>IF(COUNTIF('Registro de Incidentes'!A:A,A3)=0,0,SUMIF('Registro de Incidentes'!A:A,A3,'Registro de Incidentes'!D:D))</f>
        <v>0</v>
      </c>
      <c r="I3" s="8">
        <f>IF(COUNTIF('Registro de Incidentes'!A:A,A3)=0,0,SUMIF('Registro de Incidentes'!A:A,A3,'Registro de Incidentes'!E:E))</f>
        <v>0</v>
      </c>
    </row>
    <row r="4" ht="22.5" customHeight="1" spans="1:9">
      <c r="A4" s="6">
        <f t="array" ref="A4">INDEX('Sprint 3 Backlog'!A:A,ROW(A4))</f>
        <v>3</v>
      </c>
      <c r="B4" s="7">
        <v>7</v>
      </c>
      <c r="C4" s="7">
        <f t="shared" si="0"/>
        <v>42</v>
      </c>
      <c r="D4" s="7">
        <f>IFERROR(__xludf.DUMMYFUNCTION("IFERROR(IF(VLOOKUP(A4, 'Sprint 3 Backlog'!A:I, 9, FALSE)="""", 0, COUNTA(SPLIT(VLOOKUP(A4, 'Sprint 3 Backlog'!A:I, 9, FALSE), "",""))), 0)
"),2)</f>
        <v>2</v>
      </c>
      <c r="E4" s="7">
        <f>IFERROR(__xludf.DUMMYFUNCTION("""COMPUTED_VALUE"""),15)</f>
        <v>15</v>
      </c>
      <c r="F4" s="7">
        <f t="shared" si="1"/>
        <v>-27</v>
      </c>
      <c r="G4" s="7">
        <f>COUNTIFS('Registro de Incidentes'!A:A,A4,'Registro de Incidentes'!C:C,TRUE)</f>
        <v>0</v>
      </c>
      <c r="H4" s="7">
        <f>IF(COUNTIF('Registro de Incidentes'!A:A,A4)=0,0,SUMIF('Registro de Incidentes'!A:A,A4,'Registro de Incidentes'!D:D))</f>
        <v>0</v>
      </c>
      <c r="I4" s="8">
        <f>IF(COUNTIF('Registro de Incidentes'!A:A,A4)=0,0,SUMIF('Registro de Incidentes'!A:A,A4,'Registro de Incidentes'!E:E))</f>
        <v>0</v>
      </c>
    </row>
    <row r="5" ht="22.5" customHeight="1" spans="1:9">
      <c r="A5" s="6">
        <f t="array" ref="A5">INDEX('Sprint 3 Backlog'!A:A,ROW(A5))</f>
        <v>4</v>
      </c>
      <c r="B5" s="7">
        <v>5</v>
      </c>
      <c r="C5" s="7">
        <f t="shared" si="0"/>
        <v>30</v>
      </c>
      <c r="D5" s="7">
        <f>IFERROR(__xludf.DUMMYFUNCTION("IFERROR(IF(VLOOKUP(A5, 'Sprint 3 Backlog'!A:I, 9, FALSE)="""", 0, COUNTA(SPLIT(VLOOKUP(A5, 'Sprint 3 Backlog'!A:I, 9, FALSE), "",""))), 0)
"),2)</f>
        <v>2</v>
      </c>
      <c r="E5" s="7">
        <f>IFERROR(__xludf.DUMMYFUNCTION("""COMPUTED_VALUE"""),7)</f>
        <v>7</v>
      </c>
      <c r="F5" s="7">
        <f t="shared" si="1"/>
        <v>-23</v>
      </c>
      <c r="G5" s="7">
        <f>COUNTIFS('Registro de Incidentes'!A:A,A5,'Registro de Incidentes'!C:C,TRUE)</f>
        <v>0</v>
      </c>
      <c r="H5" s="7">
        <f>IF(COUNTIF('Registro de Incidentes'!A:A,A5)=0,0,SUMIF('Registro de Incidentes'!A:A,A5,'Registro de Incidentes'!D:D))</f>
        <v>0</v>
      </c>
      <c r="I5" s="8">
        <f>IF(COUNTIF('Registro de Incidentes'!A:A,A5)=0,0,SUMIF('Registro de Incidentes'!A:A,A5,'Registro de Incidentes'!E:E))</f>
        <v>0</v>
      </c>
    </row>
    <row r="6" ht="22.5" customHeight="1" spans="1:9">
      <c r="A6" s="6">
        <f t="array" ref="A6">INDEX('Sprint 3 Backlog'!A:A,ROW(A6))</f>
        <v>5</v>
      </c>
      <c r="B6" s="7">
        <v>3</v>
      </c>
      <c r="C6" s="7">
        <f t="shared" si="0"/>
        <v>18</v>
      </c>
      <c r="D6" s="7">
        <f>IFERROR(__xludf.DUMMYFUNCTION("IFERROR(IF(VLOOKUP(A6, 'Sprint 3 Backlog'!A:I, 9, FALSE)="""", 0, COUNTA(SPLIT(VLOOKUP(A6, 'Sprint 3 Backlog'!A:I, 9, FALSE), "",""))), 0)
"),2)</f>
        <v>2</v>
      </c>
      <c r="E6" s="7">
        <f>IFERROR(__xludf.DUMMYFUNCTION("""COMPUTED_VALUE"""),7)</f>
        <v>7</v>
      </c>
      <c r="F6" s="7">
        <f t="shared" si="1"/>
        <v>-11</v>
      </c>
      <c r="G6" s="7">
        <f>COUNTIFS('Registro de Incidentes'!A:A,A6,'Registro de Incidentes'!C:C,TRUE)</f>
        <v>0</v>
      </c>
      <c r="H6" s="7">
        <f>IF(COUNTIF('Registro de Incidentes'!A:A,A6)=0,0,SUMIF('Registro de Incidentes'!A:A,A6,'Registro de Incidentes'!D:D))</f>
        <v>0</v>
      </c>
      <c r="I6" s="8">
        <f>IF(COUNTIF('Registro de Incidentes'!A:A,A6)=0,0,SUMIF('Registro de Incidentes'!A:A,A6,'Registro de Incidentes'!E:E))</f>
        <v>0</v>
      </c>
    </row>
    <row r="7" ht="22.5" customHeight="1" spans="1:9">
      <c r="A7" s="6">
        <f t="array" ref="A7">INDEX('Sprint 3 Backlog'!A:A,ROW(A7))</f>
        <v>6</v>
      </c>
      <c r="B7" s="7">
        <v>5</v>
      </c>
      <c r="C7" s="7">
        <f t="shared" si="0"/>
        <v>30</v>
      </c>
      <c r="D7" s="7">
        <f>IFERROR(__xludf.DUMMYFUNCTION("IFERROR(IF(VLOOKUP(A7, 'Sprint 3 Backlog'!A:I, 9, FALSE)="""", 0, COUNTA(SPLIT(VLOOKUP(A7, 'Sprint 3 Backlog'!A:I, 9, FALSE), "",""))), 0)
"),2)</f>
        <v>2</v>
      </c>
      <c r="E7" s="7">
        <f>IFERROR(__xludf.DUMMYFUNCTION("""COMPUTED_VALUE"""),9)</f>
        <v>9</v>
      </c>
      <c r="F7" s="7">
        <f t="shared" si="1"/>
        <v>-21</v>
      </c>
      <c r="G7" s="7">
        <f>COUNTIFS('Registro de Incidentes'!A:A,A7,'Registro de Incidentes'!C:C,TRUE)</f>
        <v>0</v>
      </c>
      <c r="H7" s="7">
        <f>IF(COUNTIF('Registro de Incidentes'!A:A,A7)=0,0,SUMIF('Registro de Incidentes'!A:A,A7,'Registro de Incidentes'!D:D))</f>
        <v>0</v>
      </c>
      <c r="I7" s="8">
        <f>IF(COUNTIF('Registro de Incidentes'!A:A,A7)=0,0,SUMIF('Registro de Incidentes'!A:A,A7,'Registro de Incidentes'!E:E))</f>
        <v>0</v>
      </c>
    </row>
    <row r="8" ht="22.5" customHeight="1" spans="1:9">
      <c r="A8" s="6">
        <f t="array" ref="A8">INDEX('Sprint 3 Backlog'!A:A,ROW(A8))</f>
        <v>7</v>
      </c>
      <c r="B8" s="7">
        <v>3</v>
      </c>
      <c r="C8" s="7">
        <f t="shared" si="0"/>
        <v>18</v>
      </c>
      <c r="D8" s="7">
        <f>IFERROR(__xludf.DUMMYFUNCTION("IFERROR(IF(VLOOKUP(A8, 'Sprint 3 Backlog'!A:I, 9, FALSE)="""", 0, COUNTA(SPLIT(VLOOKUP(A8, 'Sprint 3 Backlog'!A:I, 9, FALSE), "",""))), 0)
"),2)</f>
        <v>2</v>
      </c>
      <c r="E8" s="7">
        <f>IFERROR(__xludf.DUMMYFUNCTION("""COMPUTED_VALUE"""),5)</f>
        <v>5</v>
      </c>
      <c r="F8" s="7">
        <f t="shared" si="1"/>
        <v>-13</v>
      </c>
      <c r="G8" s="7">
        <f>COUNTIFS('Registro de Incidentes'!A:A,A8,'Registro de Incidentes'!C:C,TRUE)</f>
        <v>0</v>
      </c>
      <c r="H8" s="7">
        <f>IF(COUNTIF('Registro de Incidentes'!A:A,A8)=0,0,SUMIF('Registro de Incidentes'!A:A,A8,'Registro de Incidentes'!D:D))</f>
        <v>0</v>
      </c>
      <c r="I8" s="8">
        <f>IF(COUNTIF('Registro de Incidentes'!A:A,A8)=0,0,SUMIF('Registro de Incidentes'!A:A,A8,'Registro de Incidentes'!E:E))</f>
        <v>0</v>
      </c>
    </row>
    <row r="9" ht="22.5" customHeight="1" spans="1:9">
      <c r="A9" s="6">
        <f t="array" ref="A9">INDEX('Sprint 3 Backlog'!A:A,ROW(A9))</f>
        <v>8</v>
      </c>
      <c r="B9" s="7">
        <v>6</v>
      </c>
      <c r="C9" s="7">
        <f t="shared" si="0"/>
        <v>36</v>
      </c>
      <c r="D9" s="7">
        <f>IFERROR(__xludf.DUMMYFUNCTION("IFERROR(IF(VLOOKUP(A9, 'Sprint 3 Backlog'!A:I, 9, FALSE)="""", 0, COUNTA(SPLIT(VLOOKUP(A9, 'Sprint 3 Backlog'!A:I, 9, FALSE), "",""))), 0)
"),1)</f>
        <v>1</v>
      </c>
      <c r="E9" s="7">
        <f>IFERROR(__xludf.DUMMYFUNCTION("""COMPUTED_VALUE"""),10)</f>
        <v>10</v>
      </c>
      <c r="F9" s="7">
        <f t="shared" si="1"/>
        <v>-26</v>
      </c>
      <c r="G9" s="7">
        <f>COUNTIFS('Registro de Incidentes'!A:A,A9,'Registro de Incidentes'!C:C,TRUE)</f>
        <v>0</v>
      </c>
      <c r="H9" s="7">
        <f>IF(COUNTIF('Registro de Incidentes'!A:A,A9)=0,0,SUMIF('Registro de Incidentes'!A:A,A9,'Registro de Incidentes'!D:D))</f>
        <v>0</v>
      </c>
      <c r="I9" s="8">
        <f>IF(COUNTIF('Registro de Incidentes'!A:A,A9)=0,0,SUMIF('Registro de Incidentes'!A:A,A9,'Registro de Incidentes'!E:E))</f>
        <v>0</v>
      </c>
    </row>
    <row r="10" ht="22.5" customHeight="1" spans="1:9">
      <c r="A10" s="6">
        <f t="array" ref="A10">INDEX('Sprint 3 Backlog'!A:A,ROW(A10))</f>
        <v>9</v>
      </c>
      <c r="B10" s="7">
        <v>4</v>
      </c>
      <c r="C10" s="7">
        <f t="shared" si="0"/>
        <v>24</v>
      </c>
      <c r="D10" s="7">
        <f>IFERROR(__xludf.DUMMYFUNCTION("IFERROR(IF(VLOOKUP(A10, 'Sprint 3 Backlog'!A:I, 9, FALSE)="""", 0, COUNTA(SPLIT(VLOOKUP(A10, 'Sprint 3 Backlog'!A:I, 9, FALSE), "",""))), 0)
"),1)</f>
        <v>1</v>
      </c>
      <c r="E10" s="7">
        <f>IFERROR(__xludf.DUMMYFUNCTION("""COMPUTED_VALUE"""),1)</f>
        <v>1</v>
      </c>
      <c r="F10" s="7">
        <f t="shared" si="1"/>
        <v>-23</v>
      </c>
      <c r="G10" s="7">
        <f>COUNTIFS('Registro de Incidentes'!A:A,A10,'Registro de Incidentes'!C:C,TRUE)</f>
        <v>0</v>
      </c>
      <c r="H10" s="7">
        <f>IF(COUNTIF('Registro de Incidentes'!A:A,A10)=0,0,SUMIF('Registro de Incidentes'!A:A,A10,'Registro de Incidentes'!D:D))</f>
        <v>0</v>
      </c>
      <c r="I10" s="8">
        <f>IF(COUNTIF('Registro de Incidentes'!A:A,A10)=0,0,SUMIF('Registro de Incidentes'!A:A,A10,'Registro de Incidentes'!E:E))</f>
        <v>0</v>
      </c>
    </row>
    <row r="11" ht="22.5" customHeight="1" spans="1:9">
      <c r="A11" s="7">
        <f t="array" ref="A11">INDEX('Sprint 3 Backlog'!A:A,ROW(A11))</f>
        <v>10</v>
      </c>
      <c r="B11" s="7">
        <v>4</v>
      </c>
      <c r="C11" s="7">
        <f t="shared" si="0"/>
        <v>24</v>
      </c>
      <c r="D11" s="7">
        <f>IFERROR(__xludf.DUMMYFUNCTION("IFERROR(IF(VLOOKUP(A11, 'Sprint 3 Backlog'!A:I, 9, FALSE)="""", 0, COUNTA(SPLIT(VLOOKUP(A11, 'Sprint 3 Backlog'!A:I, 9, FALSE), "",""))), 0)
"),2)</f>
        <v>2</v>
      </c>
      <c r="E11" s="7">
        <f>IFERROR(__xludf.DUMMYFUNCTION("""COMPUTED_VALUE"""),4)</f>
        <v>4</v>
      </c>
      <c r="F11" s="7">
        <f t="shared" si="1"/>
        <v>-20</v>
      </c>
      <c r="G11" s="7">
        <f>COUNTIFS('Registro de Incidentes'!A:A,A11,'Registro de Incidentes'!C:C,TRUE)</f>
        <v>0</v>
      </c>
      <c r="H11" s="7">
        <f>IF(COUNTIF('Registro de Incidentes'!A:A,A11)=0,0,SUMIF('Registro de Incidentes'!A:A,A11,'Registro de Incidentes'!D:D))</f>
        <v>0</v>
      </c>
      <c r="I11" s="7">
        <f>IF(COUNTIF('Registro de Incidentes'!A:A,A11)=0,0,SUMIF('Registro de Incidentes'!A:A,A11,'Registro de Incidentes'!E:E))</f>
        <v>0</v>
      </c>
    </row>
    <row r="12" ht="22.5" customHeight="1" spans="1:9">
      <c r="A12" s="7">
        <f t="array" ref="A12">INDEX('Sprint 3 Backlog'!A:A,ROW(A12))</f>
        <v>11</v>
      </c>
      <c r="B12" s="7">
        <v>3</v>
      </c>
      <c r="C12" s="7">
        <f t="shared" si="0"/>
        <v>18</v>
      </c>
      <c r="D12" s="7">
        <f>IFERROR(__xludf.DUMMYFUNCTION("IFERROR(IF(VLOOKUP(A12, 'Sprint 3 Backlog'!A:I, 9, FALSE)="""", 0, COUNTA(SPLIT(VLOOKUP(A12, 'Sprint 3 Backlog'!A:I, 9, FALSE), "",""))), 0)
"),1)</f>
        <v>1</v>
      </c>
      <c r="E12" s="7">
        <f>IFERROR(__xludf.DUMMYFUNCTION("""COMPUTED_VALUE"""),4.1)</f>
        <v>4.1</v>
      </c>
      <c r="F12" s="7">
        <f t="shared" si="1"/>
        <v>-13.9</v>
      </c>
      <c r="G12" s="7">
        <f>COUNTIFS('Registro de Incidentes'!A:A,A12,'Registro de Incidentes'!C:C,TRUE)</f>
        <v>0</v>
      </c>
      <c r="H12" s="7">
        <f>IF(COUNTIF('Registro de Incidentes'!A:A,A12)=0,0,SUMIF('Registro de Incidentes'!A:A,A12,'Registro de Incidentes'!D:D))</f>
        <v>0</v>
      </c>
      <c r="I12" s="7">
        <f>IF(COUNTIF('Registro de Incidentes'!A:A,A12)=0,0,SUMIF('Registro de Incidentes'!A:A,A12,'Registro de Incidentes'!E:E))</f>
        <v>0</v>
      </c>
    </row>
    <row r="13" ht="22.5" customHeight="1" spans="1:9">
      <c r="A13" s="7">
        <f t="array" ref="A13">INDEX('Sprint 3 Backlog'!A:A,ROW(A13))</f>
        <v>12</v>
      </c>
      <c r="B13" s="7">
        <v>2</v>
      </c>
      <c r="C13" s="7">
        <f t="shared" si="0"/>
        <v>12</v>
      </c>
      <c r="D13" s="7">
        <f>IFERROR(__xludf.DUMMYFUNCTION("IFERROR(IF(VLOOKUP(A13, 'Sprint 3 Backlog'!A:I, 9, FALSE)="""", 0, COUNTA(SPLIT(VLOOKUP(A13, 'Sprint 3 Backlog'!A:I, 9, FALSE), "",""))), 0)
"),1)</f>
        <v>1</v>
      </c>
      <c r="E13" s="7">
        <f>IFERROR(__xludf.DUMMYFUNCTION("""COMPUTED_VALUE"""),3)</f>
        <v>3</v>
      </c>
      <c r="F13" s="7">
        <f t="shared" si="1"/>
        <v>-9</v>
      </c>
      <c r="G13" s="7">
        <f>COUNTIFS('Registro de Incidentes'!A:A,A13,'Registro de Incidentes'!C:C,TRUE)</f>
        <v>0</v>
      </c>
      <c r="H13" s="7">
        <f>IF(COUNTIF('Registro de Incidentes'!A:A,A13)=0,0,SUMIF('Registro de Incidentes'!A:A,A13,'Registro de Incidentes'!D:D))</f>
        <v>0</v>
      </c>
      <c r="I13" s="7">
        <f>IF(COUNTIF('Registro de Incidentes'!A:A,A13)=0,0,SUMIF('Registro de Incidentes'!A:A,A13,'Registro de Incidentes'!E:E))</f>
        <v>0</v>
      </c>
    </row>
    <row r="14" ht="22.5" customHeight="1" spans="1:9">
      <c r="A14" s="7">
        <f t="array" ref="A14">INDEX('Sprint 3 Backlog'!A:A,ROW(A14))</f>
        <v>13</v>
      </c>
      <c r="B14" s="7">
        <v>8</v>
      </c>
      <c r="C14" s="7">
        <f t="shared" si="0"/>
        <v>48</v>
      </c>
      <c r="D14" s="7">
        <f>IFERROR(__xludf.DUMMYFUNCTION("IFERROR(IF(VLOOKUP(A14, 'Sprint 3 Backlog'!A:I, 9, FALSE)="""", 0, COUNTA(SPLIT(VLOOKUP(A14, 'Sprint 3 Backlog'!A:I, 9, FALSE), "",""))), 0)
"),2)</f>
        <v>2</v>
      </c>
      <c r="E14" s="7">
        <f>IFERROR(__xludf.DUMMYFUNCTION("""COMPUTED_VALUE"""),9)</f>
        <v>9</v>
      </c>
      <c r="F14" s="7">
        <f t="shared" si="1"/>
        <v>-39</v>
      </c>
      <c r="G14" s="7">
        <f>COUNTIFS('Registro de Incidentes'!A:A,A14,'Registro de Incidentes'!C:C,TRUE)</f>
        <v>0</v>
      </c>
      <c r="H14" s="7">
        <f>IF(COUNTIF('Registro de Incidentes'!A:A,A14)=0,0,SUMIF('Registro de Incidentes'!A:A,A14,'Registro de Incidentes'!D:D))</f>
        <v>0</v>
      </c>
      <c r="I14" s="7">
        <f>IF(COUNTIF('Registro de Incidentes'!A:A,A14)=0,0,SUMIF('Registro de Incidentes'!A:A,A14,'Registro de Incidentes'!E:E))</f>
        <v>0</v>
      </c>
    </row>
    <row r="15" ht="22.5" customHeight="1" spans="1:9">
      <c r="A15" s="7">
        <f t="array" ref="A15">INDEX('Sprint 3 Backlog'!A:A,ROW(A15))</f>
        <v>801</v>
      </c>
      <c r="B15" s="7">
        <v>0</v>
      </c>
      <c r="C15" s="7">
        <f t="shared" si="0"/>
        <v>0</v>
      </c>
      <c r="D15" s="7">
        <f>IFERROR(__xludf.DUMMYFUNCTION("IFERROR(IF(VLOOKUP(A15, 'Sprint 3 Backlog'!A:I, 9, FALSE)="""", 0, COUNTA(SPLIT(VLOOKUP(A15, 'Sprint 3 Backlog'!A:I, 9, FALSE), "",""))), 0)
"),1)</f>
        <v>1</v>
      </c>
      <c r="E15" s="7">
        <f>IFERROR(__xludf.DUMMYFUNCTION("""COMPUTED_VALUE"""),4)</f>
        <v>4</v>
      </c>
      <c r="F15" s="7">
        <f t="shared" si="1"/>
        <v>4</v>
      </c>
      <c r="G15" s="7">
        <f>COUNTIFS('Registro de Incidentes'!A:A,A15,'Registro de Incidentes'!C:C,TRUE)</f>
        <v>0</v>
      </c>
      <c r="H15" s="7">
        <f>IF(COUNTIF('Registro de Incidentes'!A:A,A15)=0,0,SUMIF('Registro de Incidentes'!A:A,A15,'Registro de Incidentes'!D:D))</f>
        <v>0</v>
      </c>
      <c r="I15" s="7">
        <f>IF(COUNTIF('Registro de Incidentes'!A:A,A15)=0,0,SUMIF('Registro de Incidentes'!A:A,A15,'Registro de Incidentes'!E:E))</f>
        <v>0</v>
      </c>
    </row>
    <row r="16" ht="22.5" customHeight="1" spans="1:9">
      <c r="A16" s="7">
        <f t="array" ref="A16">INDEX('Sprint 3 Backlog'!A:A,ROW(A16))</f>
        <v>802</v>
      </c>
      <c r="B16" s="7">
        <v>0</v>
      </c>
      <c r="C16" s="7">
        <f t="shared" si="0"/>
        <v>0</v>
      </c>
      <c r="D16" s="7">
        <f>IFERROR(__xludf.DUMMYFUNCTION("IFERROR(IF(VLOOKUP(A16, 'Sprint 3 Backlog'!A:I, 9, FALSE)="""", 0, COUNTA(SPLIT(VLOOKUP(A16, 'Sprint 3 Backlog'!A:I, 9, FALSE), "",""))), 0)
"),2)</f>
        <v>2</v>
      </c>
      <c r="E16" s="7">
        <f>IFERROR(__xludf.DUMMYFUNCTION("""COMPUTED_VALUE"""),0)</f>
        <v>0</v>
      </c>
      <c r="F16" s="7">
        <f t="shared" si="1"/>
        <v>0</v>
      </c>
      <c r="G16" s="7">
        <f>COUNTIFS('Registro de Incidentes'!A:A,A16,'Registro de Incidentes'!C:C,TRUE)</f>
        <v>0</v>
      </c>
      <c r="H16" s="7">
        <f>IF(COUNTIF('Registro de Incidentes'!A:A,A16)=0,0,SUMIF('Registro de Incidentes'!A:A,A16,'Registro de Incidentes'!D:D))</f>
        <v>0</v>
      </c>
      <c r="I16" s="7">
        <f>IF(COUNTIF('Registro de Incidentes'!A:A,A16)=0,0,SUMIF('Registro de Incidentes'!A:A,A16,'Registro de Incidentes'!E:E))</f>
        <v>0</v>
      </c>
    </row>
    <row r="17" ht="22.5" customHeight="1" spans="1:9">
      <c r="A17" s="7">
        <f t="array" ref="A17">INDEX('Sprint 3 Backlog'!A:A,ROW(A17))</f>
        <v>803</v>
      </c>
      <c r="B17" s="7">
        <v>0</v>
      </c>
      <c r="C17" s="7">
        <f t="shared" si="0"/>
        <v>0</v>
      </c>
      <c r="D17" s="7">
        <f>IFERROR(__xludf.DUMMYFUNCTION("IFERROR(IF(VLOOKUP(A17, 'Sprint 3 Backlog'!A:I, 9, FALSE)="""", 0, COUNTA(SPLIT(VLOOKUP(A17, 'Sprint 3 Backlog'!A:I, 9, FALSE), "",""))), 0)
"),0)</f>
        <v>0</v>
      </c>
      <c r="E17" s="7">
        <f>IFERROR(__xludf.DUMMYFUNCTION("""COMPUTED_VALUE"""),0)</f>
        <v>0</v>
      </c>
      <c r="F17" s="7">
        <f t="shared" si="1"/>
        <v>0</v>
      </c>
      <c r="G17" s="7">
        <f>COUNTIFS('Registro de Incidentes'!A:A,A17,'Registro de Incidentes'!C:C,TRUE)</f>
        <v>0</v>
      </c>
      <c r="H17" s="7">
        <f>IF(COUNTIF('Registro de Incidentes'!A:A,A17)=0,0,SUMIF('Registro de Incidentes'!A:A,A17,'Registro de Incidentes'!D:D))</f>
        <v>0</v>
      </c>
      <c r="I17" s="7">
        <f>IF(COUNTIF('Registro de Incidentes'!A:A,A17)=0,0,SUMIF('Registro de Incidentes'!A:A,A17,'Registro de Incidentes'!E:E))</f>
        <v>0</v>
      </c>
    </row>
    <row r="18" ht="22.5" customHeight="1" spans="1:9">
      <c r="A18" s="7">
        <f t="array" ref="A18">INDEX('Sprint 3 Backlog'!A:A,ROW(A18))</f>
        <v>804</v>
      </c>
      <c r="B18" s="7">
        <v>0</v>
      </c>
      <c r="C18" s="7">
        <f t="shared" si="0"/>
        <v>0</v>
      </c>
      <c r="D18" s="7">
        <f>IFERROR(__xludf.DUMMYFUNCTION("IFERROR(IF(VLOOKUP(A18, 'Sprint 3 Backlog'!A:I, 9, FALSE)="""", 0, COUNTA(SPLIT(VLOOKUP(A18, 'Sprint 3 Backlog'!A:I, 9, FALSE), "",""))), 0)
"),3)</f>
        <v>3</v>
      </c>
      <c r="E18" s="7">
        <f>IFERROR(__xludf.DUMMYFUNCTION("""COMPUTED_VALUE"""),1)</f>
        <v>1</v>
      </c>
      <c r="F18" s="7">
        <f t="shared" si="1"/>
        <v>1</v>
      </c>
      <c r="G18" s="7">
        <f>COUNTIFS('Registro de Incidentes'!A:A,A18,'Registro de Incidentes'!C:C,TRUE)</f>
        <v>0</v>
      </c>
      <c r="H18" s="7">
        <f>IF(COUNTIF('Registro de Incidentes'!A:A,A18)=0,0,SUMIF('Registro de Incidentes'!A:A,A18,'Registro de Incidentes'!D:D))</f>
        <v>0</v>
      </c>
      <c r="I18" s="7">
        <f>IF(COUNTIF('Registro de Incidentes'!A:A,A18)=0,0,SUMIF('Registro de Incidentes'!A:A,A18,'Registro de Incidentes'!E:E))</f>
        <v>0</v>
      </c>
    </row>
    <row r="19" ht="22.5" customHeight="1" spans="1:9">
      <c r="A19" s="7">
        <f t="array" ref="A19">INDEX('Sprint 3 Backlog'!A:A,ROW(A19))</f>
        <v>805</v>
      </c>
      <c r="B19" s="7">
        <v>0</v>
      </c>
      <c r="C19" s="7">
        <f t="shared" si="0"/>
        <v>0</v>
      </c>
      <c r="D19" s="7">
        <f>IFERROR(__xludf.DUMMYFUNCTION("IFERROR(IF(VLOOKUP(A19, 'Sprint 3 Backlog'!A:I, 9, FALSE)="""", 0, COUNTA(SPLIT(VLOOKUP(A19, 'Sprint 3 Backlog'!A:I, 9, FALSE), "",""))), 0)
"),0)</f>
        <v>0</v>
      </c>
      <c r="E19" s="7">
        <f>IFERROR(__xludf.DUMMYFUNCTION("""COMPUTED_VALUE"""),1)</f>
        <v>1</v>
      </c>
      <c r="F19" s="7">
        <f t="shared" si="1"/>
        <v>1</v>
      </c>
      <c r="G19" s="7">
        <f>COUNTIFS('Registro de Incidentes'!A:A,A19,'Registro de Incidentes'!C:C,TRUE)</f>
        <v>0</v>
      </c>
      <c r="H19" s="7">
        <f>IF(COUNTIF('Registro de Incidentes'!A:A,A19)=0,0,SUMIF('Registro de Incidentes'!A:A,A19,'Registro de Incidentes'!D:D))</f>
        <v>0</v>
      </c>
      <c r="I19" s="7">
        <f>IF(COUNTIF('Registro de Incidentes'!A:A,A19)=0,0,SUMIF('Registro de Incidentes'!A:A,A19,'Registro de Incidentes'!E:E))</f>
        <v>0</v>
      </c>
    </row>
    <row r="20" ht="22.5" customHeight="1" spans="1:9">
      <c r="A20" s="7">
        <f t="array" ref="A20">INDEX('Sprint 3 Backlog'!A:A,ROW(A20))</f>
        <v>806</v>
      </c>
      <c r="B20" s="7">
        <v>0</v>
      </c>
      <c r="C20" s="7">
        <f t="shared" si="0"/>
        <v>0</v>
      </c>
      <c r="D20" s="7">
        <f>IFERROR(__xludf.DUMMYFUNCTION("IFERROR(IF(VLOOKUP(A20, 'Sprint 3 Backlog'!A:I, 9, FALSE)="""", 0, COUNTA(SPLIT(VLOOKUP(A20, 'Sprint 3 Backlog'!A:I, 9, FALSE), "",""))), 0)
"),2)</f>
        <v>2</v>
      </c>
      <c r="E20" s="7">
        <f>IFERROR(__xludf.DUMMYFUNCTION("""COMPUTED_VALUE"""),0)</f>
        <v>0</v>
      </c>
      <c r="F20" s="7">
        <f t="shared" si="1"/>
        <v>0</v>
      </c>
      <c r="G20" s="7">
        <f>COUNTIFS('Registro de Incidentes'!A:A,A20,'Registro de Incidentes'!C:C,TRUE)</f>
        <v>0</v>
      </c>
      <c r="H20" s="7">
        <f>IF(COUNTIF('Registro de Incidentes'!A:A,A20)=0,0,SUMIF('Registro de Incidentes'!A:A,A20,'Registro de Incidentes'!D:D))</f>
        <v>0</v>
      </c>
      <c r="I20" s="7">
        <f>IF(COUNTIF('Registro de Incidentes'!A:A,A20)=0,0,SUMIF('Registro de Incidentes'!A:A,A20,'Registro de Incidentes'!E:E))</f>
        <v>0</v>
      </c>
    </row>
    <row r="21" ht="22.5" customHeight="1" spans="1:9">
      <c r="A21" s="7">
        <f t="array" ref="A21">INDEX('Sprint 3 Backlog'!A:A,ROW(A21))</f>
        <v>807</v>
      </c>
      <c r="B21" s="7">
        <v>0</v>
      </c>
      <c r="C21" s="7">
        <f t="shared" si="0"/>
        <v>0</v>
      </c>
      <c r="D21" s="7">
        <f>IFERROR(__xludf.DUMMYFUNCTION("IFERROR(IF(VLOOKUP(A21, 'Sprint 3 Backlog'!A:I, 9, FALSE)="""", 0, COUNTA(SPLIT(VLOOKUP(A21, 'Sprint 3 Backlog'!A:I, 9, FALSE), "",""))), 0)
"),1)</f>
        <v>1</v>
      </c>
      <c r="E21" s="7">
        <f>IFERROR(__xludf.DUMMYFUNCTION("""COMPUTED_VALUE"""),0)</f>
        <v>0</v>
      </c>
      <c r="F21" s="7">
        <f t="shared" si="1"/>
        <v>0</v>
      </c>
      <c r="G21" s="7">
        <f>COUNTIFS('Registro de Incidentes'!A:A,A21,'Registro de Incidentes'!C:C,TRUE)</f>
        <v>0</v>
      </c>
      <c r="H21" s="7">
        <f>IF(COUNTIF('Registro de Incidentes'!A:A,A21)=0,0,SUMIF('Registro de Incidentes'!A:A,A21,'Registro de Incidentes'!D:D))</f>
        <v>0</v>
      </c>
      <c r="I21" s="7">
        <f>IF(COUNTIF('Registro de Incidentes'!A:A,A21)=0,0,SUMIF('Registro de Incidentes'!A:A,A21,'Registro de Incidentes'!E:E))</f>
        <v>0</v>
      </c>
    </row>
    <row r="22" ht="22.5" customHeight="1" spans="1:9">
      <c r="A22" s="7">
        <f t="array" ref="A22">INDEX('Sprint 3 Backlog'!A:A,ROW(A22))</f>
        <v>808</v>
      </c>
      <c r="B22" s="7">
        <v>0</v>
      </c>
      <c r="C22" s="7">
        <f t="shared" si="0"/>
        <v>0</v>
      </c>
      <c r="D22" s="7">
        <f>IFERROR(__xludf.DUMMYFUNCTION("IFERROR(IF(VLOOKUP(A22, 'Sprint 3 Backlog'!A:I, 9, FALSE)="""", 0, COUNTA(SPLIT(VLOOKUP(A22, 'Sprint 3 Backlog'!A:I, 9, FALSE), "",""))), 0)
"),2)</f>
        <v>2</v>
      </c>
      <c r="E22" s="7">
        <f>IFERROR(__xludf.DUMMYFUNCTION("""COMPUTED_VALUE"""),0)</f>
        <v>0</v>
      </c>
      <c r="F22" s="7">
        <f t="shared" si="1"/>
        <v>0</v>
      </c>
      <c r="G22" s="7">
        <f>COUNTIFS('Registro de Incidentes'!A:A,A22,'Registro de Incidentes'!C:C,TRUE)</f>
        <v>0</v>
      </c>
      <c r="H22" s="7">
        <f>IF(COUNTIF('Registro de Incidentes'!A:A,A22)=0,0,SUMIF('Registro de Incidentes'!A:A,A22,'Registro de Incidentes'!D:D))</f>
        <v>0</v>
      </c>
      <c r="I22" s="7">
        <f>IF(COUNTIF('Registro de Incidentes'!A:A,A22)=0,0,SUMIF('Registro de Incidentes'!A:A,A22,'Registro de Incidentes'!E:E))</f>
        <v>0</v>
      </c>
    </row>
    <row r="23" ht="22.5" customHeight="1" spans="1:9">
      <c r="A23" s="7">
        <f t="array" ref="A23">INDEX('Sprint 3 Backlog'!A:A,ROW(A23))</f>
        <v>809</v>
      </c>
      <c r="B23" s="7">
        <v>0</v>
      </c>
      <c r="C23" s="7">
        <f t="shared" si="0"/>
        <v>0</v>
      </c>
      <c r="D23" s="7">
        <f>IFERROR(__xludf.DUMMYFUNCTION("IFERROR(IF(VLOOKUP(A23, 'Sprint 3 Backlog'!A:I, 9, FALSE)="""", 0, COUNTA(SPLIT(VLOOKUP(A23, 'Sprint 3 Backlog'!A:I, 9, FALSE), "",""))), 0)
"),1)</f>
        <v>1</v>
      </c>
      <c r="E23" s="7">
        <f>IFERROR(__xludf.DUMMYFUNCTION("""COMPUTED_VALUE"""),0)</f>
        <v>0</v>
      </c>
      <c r="F23" s="7">
        <f t="shared" si="1"/>
        <v>0</v>
      </c>
      <c r="G23" s="7">
        <f>COUNTIFS('Registro de Incidentes'!A:A,A23,'Registro de Incidentes'!C:C,TRUE)</f>
        <v>0</v>
      </c>
      <c r="H23" s="7">
        <f>IF(COUNTIF('Registro de Incidentes'!A:A,A23)=0,0,SUMIF('Registro de Incidentes'!A:A,A23,'Registro de Incidentes'!D:D))</f>
        <v>0</v>
      </c>
      <c r="I23" s="7">
        <f>IF(COUNTIF('Registro de Incidentes'!A:A,A23)=0,0,SUMIF('Registro de Incidentes'!A:A,A23,'Registro de Incidentes'!E:E))</f>
        <v>0</v>
      </c>
    </row>
  </sheetData>
  <customSheetViews>
    <customSheetView guid="{5EAFF747-5B3C-4625-9F3C-A03F20A0B65A}" filter="1" showAutoFilter="1">
      <autoFilter ref="A1:I23"/>
    </customSheetView>
  </customSheetViews>
  <dataValidations count="1">
    <dataValidation type="custom" allowBlank="1" sqref="B2:I23">
      <formula1>AND(ISNUMBER(B2),(NOT(OR(NOT(ISERROR(DATEVALUE(B2))),AND(ISNUMBER(B2),LEFT(CELL("format",B2))="D")))))</formula1>
    </dataValidation>
  </dataValidation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7</vt:i4>
      </vt:variant>
    </vt:vector>
  </HeadingPairs>
  <TitlesOfParts>
    <vt:vector size="7" baseType="lpstr">
      <vt:lpstr>Sprint 3 Backlog</vt:lpstr>
      <vt:lpstr>Listado de HUs</vt:lpstr>
      <vt:lpstr>Requisitos No Funcionales</vt:lpstr>
      <vt:lpstr>Registro de Horas Trabajadas</vt:lpstr>
      <vt:lpstr>Comentarios HUs</vt:lpstr>
      <vt:lpstr>Registro de Incidentes</vt:lpstr>
      <vt:lpstr>Métricas Memoria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 RST</cp:lastModifiedBy>
  <dcterms:created xsi:type="dcterms:W3CDTF">2026-06-09T20:11:27Z</dcterms:created>
  <dcterms:modified xsi:type="dcterms:W3CDTF">2026-06-09T20:19:26Z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2973EFE2C5B34E858EBA046597C300F3_12</vt:lpwstr>
  </property>
  <property fmtid="{D5CDD505-2E9C-101B-9397-08002B2CF9AE}" pid="3" name="KSOProductBuildVer">
    <vt:lpwstr>2058-12.1.0.26880</vt:lpwstr>
  </property>
  <property fmtid="{D5CDD505-2E9C-101B-9397-08002B2CF9AE}" pid="4" name="CalculationRule">
    <vt:i4>0</vt:i4>
  </property>
</Properties>
</file>